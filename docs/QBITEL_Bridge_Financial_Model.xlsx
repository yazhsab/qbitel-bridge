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Use of Funds  —  $18M" sheetId="3" state="visible" r:id="rId3"/>
    <sheet xmlns:r="http://schemas.openxmlformats.org/officeDocument/2006/relationships" name="Quarterly P&amp;L" sheetId="4" state="visible" r:id="rId4"/>
    <sheet xmlns:r="http://schemas.openxmlformats.org/officeDocument/2006/relationships" name="ARR Bridge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Cash 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DE8A0"/>
      <sz val="10"/>
    </font>
    <font>
      <name val="Calibri"/>
      <b val="1"/>
      <color rgb="00F0A500"/>
      <sz val="9"/>
    </font>
    <font>
      <name val="Calibri"/>
      <b val="1"/>
      <color rgb="00F0A500"/>
      <sz val="10"/>
    </font>
    <font>
      <name val="Calibri"/>
      <b val="1"/>
      <color rgb="001B3A6B"/>
      <sz val="9"/>
    </font>
    <font>
      <name val="Calibri"/>
      <color rgb="001F2937"/>
      <sz val="9"/>
    </font>
    <font>
      <name val="Calibri"/>
      <b val="1"/>
      <color rgb="001B3A6B"/>
      <sz val="10"/>
    </font>
    <font>
      <name val="Calibri"/>
      <b val="1"/>
      <color rgb="00C0392B"/>
      <sz val="10"/>
    </font>
    <font>
      <name val="Calibri"/>
      <color rgb="00C0392B"/>
      <sz val="9"/>
    </font>
    <font>
      <name val="Calibri"/>
      <b val="1"/>
      <color rgb="001E8449"/>
      <sz val="9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i val="1"/>
      <color rgb="00FFFFFF"/>
      <sz val="8"/>
    </font>
    <font>
      <name val="Calibri"/>
      <b val="1"/>
      <color rgb="00FFFFFF"/>
      <sz val="16"/>
    </font>
    <font>
      <name val="Calibri"/>
      <i val="1"/>
      <color rgb="00FDE8A0"/>
      <sz val="8"/>
    </font>
    <font>
      <name val="Calibri"/>
      <b val="1"/>
      <color rgb="00FFFFFF"/>
      <sz val="13"/>
    </font>
    <font>
      <name val="Calibri"/>
      <i val="1"/>
      <color rgb="00FDE8A0"/>
      <sz val="9"/>
    </font>
    <font>
      <name val="Calibri"/>
      <b val="1"/>
      <color rgb="001F2937"/>
      <sz val="9"/>
    </font>
    <font>
      <name val="Calibri"/>
      <b val="1"/>
      <color rgb="001B3A6B"/>
      <sz val="12"/>
    </font>
    <font>
      <name val="Calibri"/>
      <b val="1"/>
      <color rgb="001B3A6B"/>
      <sz val="11"/>
    </font>
    <font>
      <name val="Calibri"/>
      <b val="1"/>
      <color rgb="00F0A500"/>
      <sz val="11"/>
    </font>
    <font>
      <name val="Calibri"/>
      <color rgb="00626567"/>
      <sz val="9"/>
    </font>
    <font>
      <name val="Calibri"/>
      <b val="1"/>
      <color rgb="00FDE8A0"/>
      <sz val="10"/>
    </font>
    <font>
      <name val="Calibri"/>
      <b val="1"/>
      <color rgb="001B3A6B"/>
      <sz val="13"/>
    </font>
    <font>
      <name val="Calibri"/>
      <color rgb="001B3A6B"/>
      <sz val="9"/>
    </font>
    <font>
      <name val="Calibri"/>
      <b val="1"/>
      <color rgb="00FFFFFF"/>
      <sz val="9"/>
    </font>
    <font>
      <name val="Calibri"/>
      <b val="1"/>
      <color rgb="00C0392B"/>
      <sz val="9"/>
    </font>
    <font>
      <name val="Calibri"/>
      <color rgb="002E86C1"/>
      <sz val="10"/>
    </font>
    <font>
      <name val="Calibri"/>
      <color rgb="001E8449"/>
      <sz val="10"/>
    </font>
    <font>
      <name val="Calibri"/>
      <color rgb="00C0392B"/>
      <sz val="10"/>
    </font>
    <font>
      <name val="Calibri"/>
      <color rgb="001B3A6B"/>
      <sz val="10"/>
    </font>
    <font>
      <name val="Calibri"/>
      <color rgb="001A5276"/>
      <sz val="10"/>
    </font>
    <font>
      <name val="Calibri"/>
      <color rgb="001E8449"/>
      <sz val="9"/>
    </font>
  </fonts>
  <fills count="1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43F7A"/>
      </patternFill>
    </fill>
    <fill>
      <patternFill patternType="solid">
        <fgColor rgb="00F2F4F8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5D8DC"/>
      </patternFill>
    </fill>
    <fill>
      <patternFill patternType="solid">
        <fgColor rgb="00D5F5E3"/>
      </patternFill>
    </fill>
    <fill>
      <patternFill patternType="solid">
        <fgColor rgb="002E86C1"/>
      </patternFill>
    </fill>
    <fill>
      <patternFill patternType="solid">
        <fgColor rgb="001E8449"/>
      </patternFill>
    </fill>
    <fill>
      <patternFill patternType="solid">
        <fgColor rgb="00D4AC0D"/>
      </patternFill>
    </fill>
    <fill>
      <patternFill patternType="solid">
        <fgColor rgb="00F0A500"/>
      </patternFill>
    </fill>
    <fill>
      <patternFill patternType="solid">
        <fgColor rgb="00FADBD8"/>
      </patternFill>
    </fill>
  </fills>
  <borders count="5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1B3A6B"/>
      </left>
      <right style="thin">
        <color rgb="001B3A6B"/>
      </right>
      <top style="thin">
        <color rgb="001B3A6B"/>
      </top>
      <bottom style="thin">
        <color rgb="001B3A6B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medium">
        <color rgb="00F0A500"/>
      </left>
      <right style="medium">
        <color rgb="00F0A500"/>
      </right>
      <top style="medium">
        <color rgb="00F0A500"/>
      </top>
      <bottom style="medium">
        <color rgb="00F0A50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7" fillId="7" borderId="2" applyAlignment="1" pivotButton="0" quotePrefix="0" xfId="0">
      <alignment horizontal="right" vertical="center" wrapText="1"/>
    </xf>
    <xf numFmtId="164" fontId="8" fillId="7" borderId="2" applyAlignment="1" pivotButton="0" quotePrefix="0" xfId="0">
      <alignment horizontal="right" vertical="center" wrapText="1"/>
    </xf>
    <xf numFmtId="164" fontId="9" fillId="6" borderId="1" applyAlignment="1" pivotButton="0" quotePrefix="0" xfId="0">
      <alignment horizontal="right" vertical="center" wrapText="1"/>
    </xf>
    <xf numFmtId="164" fontId="10" fillId="8" borderId="1" applyAlignment="1" pivotButton="0" quotePrefix="0" xfId="0">
      <alignment horizontal="right" vertical="center" wrapText="1"/>
    </xf>
    <xf numFmtId="0" fontId="11" fillId="2" borderId="0" applyAlignment="1" pivotButton="0" quotePrefix="0" xfId="0">
      <alignment horizontal="center" vertical="center" wrapText="1"/>
    </xf>
    <xf numFmtId="0" fontId="0" fillId="2" borderId="3" pivotButton="0" quotePrefix="0" xfId="0"/>
    <xf numFmtId="0" fontId="0" fillId="9" borderId="3" pivotButton="0" quotePrefix="0" xfId="0"/>
    <xf numFmtId="0" fontId="0" fillId="10" borderId="3" pivotButton="0" quotePrefix="0" xfId="0"/>
    <xf numFmtId="0" fontId="12" fillId="2" borderId="3" applyAlignment="1" pivotButton="0" quotePrefix="0" xfId="0">
      <alignment horizontal="center" vertical="center" wrapText="1"/>
    </xf>
    <xf numFmtId="0" fontId="12" fillId="9" borderId="3" applyAlignment="1" pivotButton="0" quotePrefix="0" xfId="0">
      <alignment horizontal="center" vertical="center" wrapText="1"/>
    </xf>
    <xf numFmtId="0" fontId="12" fillId="10" borderId="3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3" fillId="9" borderId="3" applyAlignment="1" pivotButton="0" quotePrefix="0" xfId="0">
      <alignment horizontal="center" vertical="center" wrapText="1"/>
    </xf>
    <xf numFmtId="0" fontId="13" fillId="10" borderId="3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0" fillId="5" borderId="4" pivotButton="0" quotePrefix="0" xfId="0"/>
    <xf numFmtId="0" fontId="0" fillId="11" borderId="4" pivotButton="0" quotePrefix="0" xfId="0"/>
    <xf numFmtId="0" fontId="14" fillId="5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164" fontId="4" fillId="2" borderId="4" applyAlignment="1" pivotButton="0" quotePrefix="0" xfId="0">
      <alignment horizontal="right" vertical="center" wrapText="1"/>
    </xf>
    <xf numFmtId="0" fontId="4" fillId="2" borderId="4" applyAlignment="1" pivotButton="0" quotePrefix="0" xfId="0">
      <alignment horizontal="center" vertical="center" wrapText="1"/>
    </xf>
    <xf numFmtId="0" fontId="19" fillId="12" borderId="4" applyAlignment="1" pivotButton="0" quotePrefix="0" xfId="0">
      <alignment horizontal="left" vertical="center" wrapText="1"/>
    </xf>
    <xf numFmtId="164" fontId="19" fillId="12" borderId="4" applyAlignment="1" pivotButton="0" quotePrefix="0" xfId="0">
      <alignment horizontal="right" vertical="center" wrapText="1"/>
    </xf>
    <xf numFmtId="0" fontId="20" fillId="12" borderId="4" applyAlignment="1" pivotButton="0" quotePrefix="0" xfId="0">
      <alignment horizontal="center" vertical="center" wrapText="1"/>
    </xf>
    <xf numFmtId="0" fontId="0" fillId="12" borderId="0" pivotButton="0" quotePrefix="0" xfId="0"/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 wrapText="1"/>
    </xf>
    <xf numFmtId="0" fontId="21" fillId="2" borderId="0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left" vertical="center" wrapText="1"/>
    </xf>
    <xf numFmtId="0" fontId="23" fillId="2" borderId="4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left" vertical="center" wrapText="1"/>
    </xf>
    <xf numFmtId="164" fontId="4" fillId="5" borderId="4" applyAlignment="1" pivotButton="0" quotePrefix="0" xfId="0">
      <alignment horizontal="right" vertical="center" wrapText="1"/>
    </xf>
    <xf numFmtId="0" fontId="23" fillId="5" borderId="4" applyAlignment="1" pivotButton="0" quotePrefix="0" xfId="0">
      <alignment horizontal="center" vertical="center" wrapText="1"/>
    </xf>
    <xf numFmtId="0" fontId="24" fillId="12" borderId="4" applyAlignment="1" pivotButton="0" quotePrefix="0" xfId="0">
      <alignment horizontal="left" vertical="center" wrapText="1"/>
    </xf>
    <xf numFmtId="0" fontId="19" fillId="12" borderId="4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right" vertical="center" wrapText="1"/>
    </xf>
    <xf numFmtId="164" fontId="27" fillId="13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right" vertical="center" wrapText="1"/>
    </xf>
    <xf numFmtId="0" fontId="28" fillId="6" borderId="1" applyAlignment="1" pivotButton="0" quotePrefix="0" xfId="0">
      <alignment horizontal="left" vertical="center" wrapText="1"/>
    </xf>
    <xf numFmtId="164" fontId="29" fillId="6" borderId="1" applyAlignment="1" pivotButton="0" quotePrefix="0" xfId="0">
      <alignment horizontal="right" vertical="center" wrapText="1"/>
    </xf>
    <xf numFmtId="0" fontId="29" fillId="4" borderId="1" applyAlignment="1" pivotButton="0" quotePrefix="0" xfId="0">
      <alignment horizontal="left" vertical="center" wrapText="1"/>
    </xf>
    <xf numFmtId="164" fontId="29" fillId="4" borderId="1" applyAlignment="1" pivotButton="0" quotePrefix="0" xfId="0">
      <alignment horizontal="right" vertical="center" wrapText="1"/>
    </xf>
    <xf numFmtId="0" fontId="30" fillId="6" borderId="1" applyAlignment="1" pivotButton="0" quotePrefix="0" xfId="0">
      <alignment horizontal="left" vertical="center" wrapText="1"/>
    </xf>
    <xf numFmtId="0" fontId="31" fillId="6" borderId="1" applyAlignment="1" pivotButton="0" quotePrefix="0" xfId="0">
      <alignment horizontal="center" vertical="center" wrapText="1"/>
    </xf>
    <xf numFmtId="164" fontId="30" fillId="6" borderId="1" applyAlignment="1" pivotButton="0" quotePrefix="0" xfId="0">
      <alignment horizontal="right" vertical="center" wrapText="1"/>
    </xf>
    <xf numFmtId="0" fontId="32" fillId="4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left" vertical="center" wrapText="1"/>
    </xf>
    <xf numFmtId="164" fontId="31" fillId="6" borderId="1" applyAlignment="1" pivotButton="0" quotePrefix="0" xfId="0">
      <alignment horizontal="right" vertical="center" wrapText="1"/>
    </xf>
    <xf numFmtId="0" fontId="31" fillId="4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left" vertical="center" wrapText="1"/>
    </xf>
    <xf numFmtId="164" fontId="33" fillId="4" borderId="1" applyAlignment="1" pivotButton="0" quotePrefix="0" xfId="0">
      <alignment horizontal="right" vertical="center" wrapText="1"/>
    </xf>
    <xf numFmtId="164" fontId="33" fillId="6" borderId="1" applyAlignment="1" pivotButton="0" quotePrefix="0" xfId="0">
      <alignment horizontal="right" vertical="center" wrapText="1"/>
    </xf>
    <xf numFmtId="0" fontId="33" fillId="6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Revenue by Stream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Model'!C42</f>
            </strRef>
          </tx>
          <spPr>
            <a:solidFill xmlns:a="http://schemas.openxmlformats.org/drawingml/2006/main">
              <a:srgbClr val="1B3A6B"/>
            </a:solidFill>
            <a:ln xmlns:a="http://schemas.openxmlformats.org/drawingml/2006/main">
              <a:prstDash val="solid"/>
            </a:ln>
          </spPr>
          <cat>
            <numRef>
              <f>'Revenue Model'!$B$43:$B$45</f>
            </numRef>
          </cat>
          <val>
            <numRef>
              <f>'Revenue Model'!$C$43:$C$45</f>
            </numRef>
          </val>
        </ser>
        <ser>
          <idx val="1"/>
          <order val="1"/>
          <tx>
            <strRef>
              <f>'Revenue Model'!D42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cat>
            <numRef>
              <f>'Revenue Model'!$B$43:$B$45</f>
            </numRef>
          </cat>
          <val>
            <numRef>
              <f>'Revenue Model'!$D$43:$D$45</f>
            </numRef>
          </val>
        </ser>
        <ser>
          <idx val="2"/>
          <order val="2"/>
          <tx>
            <strRef>
              <f>'Revenue Model'!E42</f>
            </strRef>
          </tx>
          <spPr>
            <a:solidFill xmlns:a="http://schemas.openxmlformats.org/drawingml/2006/main">
              <a:srgbClr val="F0A500"/>
            </a:solidFill>
            <a:ln xmlns:a="http://schemas.openxmlformats.org/drawingml/2006/main">
              <a:prstDash val="solid"/>
            </a:ln>
          </spPr>
          <cat>
            <numRef>
              <f>'Revenue Model'!$B$43:$B$45</f>
            </numRef>
          </cat>
          <val>
            <numRef>
              <f>'Revenue Model'!$E$43:$E$45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Spend vs Revenue — 24 Months</a:t>
            </a:r>
          </a:p>
        </rich>
      </tx>
    </title>
    <plotArea>
      <lineChart>
        <grouping val="standard"/>
        <ser>
          <idx val="0"/>
          <order val="0"/>
          <tx>
            <strRef>
              <f>'Use of Funds  —  $18M'!C39</f>
            </strRef>
          </tx>
          <spPr>
            <a:ln xmlns:a="http://schemas.openxmlformats.org/drawingml/2006/main" w="20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'Use of Funds  —  $18M'!$C$40:$C$63</f>
            </numRef>
          </val>
        </ser>
        <ser>
          <idx val="1"/>
          <order val="1"/>
          <tx>
            <strRef>
              <f>'Use of Funds  —  $18M'!D39</f>
            </strRef>
          </tx>
          <spPr>
            <a:ln xmlns:a="http://schemas.openxmlformats.org/drawingml/2006/main" w="20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'Use of Funds  —  $18M'!$D$40:$D$63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 Growth: $5.1M → $14.8M → $32.4M</a:t>
            </a:r>
          </a:p>
        </rich>
      </tx>
    </title>
    <plotArea>
      <lineChart>
        <grouping val="standard"/>
        <ser>
          <idx val="0"/>
          <order val="0"/>
          <tx>
            <strRef>
              <f>'ARR Bridge'!C16</f>
            </strRef>
          </tx>
          <spPr>
            <a:ln xmlns:a="http://schemas.openxmlformats.org/drawingml/2006/main" w="30000">
              <a:solidFill>
                <a:srgbClr val="2E86C1"/>
              </a:solidFill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cat>
            <numRef>
              <f>'ARR Bridge'!$B$17:$B$19</f>
            </numRef>
          </cat>
          <val>
            <numRef>
              <f>'ARR Bridge'!$C$17:$C$19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41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B3A6B"/>
    <outlinePr summaryBelow="1" summaryRight="1"/>
    <pageSetUpPr fitToPage="1"/>
  </sheetPr>
  <dimension ref="B1:E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 ht="32" customHeight="1">
      <c r="B1" s="1" t="inlineStr">
        <is>
          <t>QBITEL BRIDGE  —  FINANCIAL SUMMARY</t>
        </is>
      </c>
    </row>
    <row r="2" ht="20" customHeight="1">
      <c r="B2" s="2" t="inlineStr">
        <is>
          <t>Series A  |  $18,000,000  |  Three-Year Financial Model  (FY2026 – FY2028)</t>
        </is>
      </c>
    </row>
    <row r="3" ht="22" customHeight="1">
      <c r="B3" s="3" t="inlineStr">
        <is>
          <t>METRIC</t>
        </is>
      </c>
      <c r="C3" s="3" t="inlineStr">
        <is>
          <t>FY2026  (Year 1)</t>
        </is>
      </c>
      <c r="D3" s="3" t="inlineStr">
        <is>
          <t>FY2027  (Year 2)</t>
        </is>
      </c>
      <c r="E3" s="3" t="inlineStr">
        <is>
          <t>FY2028  (Year 3)</t>
        </is>
      </c>
    </row>
    <row r="4" ht="6" customHeight="1">
      <c r="B4" s="4" t="n"/>
    </row>
    <row r="5" ht="22" customHeight="1">
      <c r="B5" s="5" t="inlineStr">
        <is>
          <t xml:space="preserve">  GROWTH METRICS</t>
        </is>
      </c>
    </row>
    <row r="6" ht="19" customHeight="1">
      <c r="B6" s="6" t="inlineStr">
        <is>
          <t>Enterprise Customers</t>
        </is>
      </c>
      <c r="C6" s="7" t="n">
        <v>6</v>
      </c>
      <c r="D6" s="7" t="n">
        <v>16</v>
      </c>
      <c r="E6" s="7" t="n">
        <v>32</v>
      </c>
    </row>
    <row r="7" ht="19" customHeight="1">
      <c r="B7" s="8" t="inlineStr">
        <is>
          <t>New Logos in Year</t>
        </is>
      </c>
      <c r="C7" s="9" t="n">
        <v>6</v>
      </c>
      <c r="D7" s="9" t="n">
        <v>10</v>
      </c>
      <c r="E7" s="9" t="n">
        <v>16</v>
      </c>
    </row>
    <row r="8" ht="19" customHeight="1">
      <c r="B8" s="6" t="inlineStr">
        <is>
          <t>Ending ARR</t>
        </is>
      </c>
      <c r="C8" s="7" t="n">
        <v>5100000</v>
      </c>
      <c r="D8" s="7" t="n">
        <v>14800000</v>
      </c>
      <c r="E8" s="7" t="n">
        <v>32400000</v>
      </c>
    </row>
    <row r="9" ht="19" customHeight="1">
      <c r="B9" s="8" t="inlineStr">
        <is>
          <t>ARR Growth YoY</t>
        </is>
      </c>
      <c r="C9" s="10" t="inlineStr">
        <is>
          <t>—</t>
        </is>
      </c>
      <c r="D9" s="10" t="inlineStr">
        <is>
          <t>190%</t>
        </is>
      </c>
      <c r="E9" s="10" t="inlineStr">
        <is>
          <t>119%</t>
        </is>
      </c>
    </row>
    <row r="10" ht="19" customHeight="1">
      <c r="B10" s="6" t="inlineStr">
        <is>
          <t>Net Revenue Retention</t>
        </is>
      </c>
      <c r="C10" s="11" t="inlineStr">
        <is>
          <t>110%</t>
        </is>
      </c>
      <c r="D10" s="11" t="inlineStr">
        <is>
          <t>130%+</t>
        </is>
      </c>
      <c r="E10" s="11" t="inlineStr">
        <is>
          <t>135%+</t>
        </is>
      </c>
    </row>
    <row r="11" ht="19" customHeight="1">
      <c r="B11" s="8" t="inlineStr">
        <is>
          <t>Churn Rate</t>
        </is>
      </c>
      <c r="C11" s="10" t="inlineStr">
        <is>
          <t>&lt;5%</t>
        </is>
      </c>
      <c r="D11" s="10" t="inlineStr">
        <is>
          <t>&lt;5%</t>
        </is>
      </c>
      <c r="E11" s="10" t="inlineStr">
        <is>
          <t>&lt;5%</t>
        </is>
      </c>
    </row>
    <row r="12" ht="6" customHeight="1">
      <c r="B12" s="4" t="n"/>
    </row>
    <row r="13" ht="22" customHeight="1">
      <c r="B13" s="5" t="inlineStr">
        <is>
          <t xml:space="preserve">  INCOME STATEMENT</t>
        </is>
      </c>
    </row>
    <row r="14" ht="19" customHeight="1">
      <c r="B14" s="8" t="inlineStr">
        <is>
          <t>Subscription Revenue</t>
        </is>
      </c>
      <c r="C14" s="9" t="n">
        <v>3060000</v>
      </c>
      <c r="D14" s="9" t="n">
        <v>9830000</v>
      </c>
      <c r="E14" s="9" t="n">
        <v>21200000</v>
      </c>
    </row>
    <row r="15" ht="19" customHeight="1">
      <c r="B15" s="6" t="inlineStr">
        <is>
          <t>Professional Services</t>
        </is>
      </c>
      <c r="C15" s="7" t="n">
        <v>1500000</v>
      </c>
      <c r="D15" s="7" t="n">
        <v>2500000</v>
      </c>
      <c r="E15" s="7" t="n">
        <v>4000000</v>
      </c>
    </row>
    <row r="16" ht="19" customHeight="1">
      <c r="B16" s="8" t="inlineStr">
        <is>
          <t>Marketplace Revenue</t>
        </is>
      </c>
      <c r="C16" s="9" t="n">
        <v>0</v>
      </c>
      <c r="D16" s="9" t="n">
        <v>1008000</v>
      </c>
      <c r="E16" s="9" t="n">
        <v>6300000</v>
      </c>
    </row>
    <row r="17" ht="19" customHeight="1">
      <c r="B17" s="12" t="inlineStr">
        <is>
          <t>Total Revenue</t>
        </is>
      </c>
      <c r="C17" s="13" t="n">
        <v>4560000</v>
      </c>
      <c r="D17" s="13" t="n">
        <v>13338000</v>
      </c>
      <c r="E17" s="13" t="n">
        <v>31500000</v>
      </c>
    </row>
    <row r="18" ht="19" customHeight="1">
      <c r="B18" s="8" t="inlineStr">
        <is>
          <t>Cost of Revenue</t>
        </is>
      </c>
      <c r="C18" s="9" t="n">
        <v>1687200</v>
      </c>
      <c r="D18" s="9" t="n">
        <v>4268160</v>
      </c>
      <c r="E18" s="9" t="n">
        <v>8820000</v>
      </c>
    </row>
    <row r="19" ht="19" customHeight="1">
      <c r="B19" s="12" t="inlineStr">
        <is>
          <t>Gross Profit</t>
        </is>
      </c>
      <c r="C19" s="13" t="n">
        <v>2872800</v>
      </c>
      <c r="D19" s="13" t="n">
        <v>9069840</v>
      </c>
      <c r="E19" s="13" t="n">
        <v>22680000</v>
      </c>
    </row>
    <row r="20" ht="19" customHeight="1">
      <c r="B20" s="8" t="inlineStr">
        <is>
          <t>Gross Margin %</t>
        </is>
      </c>
      <c r="C20" s="10" t="inlineStr">
        <is>
          <t>63%</t>
        </is>
      </c>
      <c r="D20" s="10" t="inlineStr">
        <is>
          <t>68%</t>
        </is>
      </c>
      <c r="E20" s="10" t="inlineStr">
        <is>
          <t>72%</t>
        </is>
      </c>
    </row>
    <row r="21" ht="19" customHeight="1">
      <c r="B21" s="6" t="inlineStr">
        <is>
          <t>R&amp;D / Engineering</t>
        </is>
      </c>
      <c r="C21" s="7" t="n">
        <v>4200000</v>
      </c>
      <c r="D21" s="7" t="n">
        <v>4500000</v>
      </c>
      <c r="E21" s="7" t="n">
        <v>5500000</v>
      </c>
    </row>
    <row r="22" ht="19" customHeight="1">
      <c r="B22" s="8" t="inlineStr">
        <is>
          <t>Sales &amp; Marketing</t>
        </is>
      </c>
      <c r="C22" s="9" t="n">
        <v>2500000</v>
      </c>
      <c r="D22" s="9" t="n">
        <v>3500000</v>
      </c>
      <c r="E22" s="9" t="n">
        <v>5000000</v>
      </c>
    </row>
    <row r="23" ht="19" customHeight="1">
      <c r="B23" s="6" t="inlineStr">
        <is>
          <t>General &amp; Admin</t>
        </is>
      </c>
      <c r="C23" s="7" t="n">
        <v>1500000</v>
      </c>
      <c r="D23" s="7" t="n">
        <v>1800000</v>
      </c>
      <c r="E23" s="7" t="n">
        <v>2500000</v>
      </c>
    </row>
    <row r="24" ht="19" customHeight="1">
      <c r="B24" s="12" t="inlineStr">
        <is>
          <t>Total OpEx</t>
        </is>
      </c>
      <c r="C24" s="13" t="n">
        <v>8200000</v>
      </c>
      <c r="D24" s="13" t="n">
        <v>9800000</v>
      </c>
      <c r="E24" s="13" t="n">
        <v>13000000</v>
      </c>
    </row>
    <row r="25" ht="19" customHeight="1">
      <c r="B25" s="12" t="inlineStr">
        <is>
          <t>EBITDA</t>
        </is>
      </c>
      <c r="C25" s="14" t="n">
        <v>-5327200</v>
      </c>
      <c r="D25" s="14" t="n">
        <v>-730160</v>
      </c>
      <c r="E25" s="13" t="n">
        <v>9680000</v>
      </c>
    </row>
    <row r="26" ht="19" customHeight="1">
      <c r="B26" s="8" t="inlineStr">
        <is>
          <t>EBITDA Margin</t>
        </is>
      </c>
      <c r="C26" s="10" t="inlineStr">
        <is>
          <t>—</t>
        </is>
      </c>
      <c r="D26" s="10" t="inlineStr">
        <is>
          <t>—</t>
        </is>
      </c>
      <c r="E26" s="10" t="inlineStr">
        <is>
          <t>30.7%</t>
        </is>
      </c>
    </row>
    <row r="27" ht="6" customHeight="1">
      <c r="B27" s="4" t="n"/>
    </row>
    <row r="28" ht="22" customHeight="1">
      <c r="B28" s="5" t="inlineStr">
        <is>
          <t xml:space="preserve">  CASH &amp; FUNDING</t>
        </is>
      </c>
    </row>
    <row r="29" ht="19" customHeight="1">
      <c r="B29" s="8" t="inlineStr">
        <is>
          <t>Series A Raise</t>
        </is>
      </c>
      <c r="C29" s="9" t="n">
        <v>18000000</v>
      </c>
      <c r="D29" s="9" t="n">
        <v>0</v>
      </c>
      <c r="E29" s="9" t="n">
        <v>0</v>
      </c>
    </row>
    <row r="30" ht="19" customHeight="1">
      <c r="B30" s="6" t="inlineStr">
        <is>
          <t>Net Cash Burn / (Gen.)</t>
        </is>
      </c>
      <c r="C30" s="15" t="n">
        <v>-7014400</v>
      </c>
      <c r="D30" s="15" t="n">
        <v>-4998320</v>
      </c>
      <c r="E30" s="7" t="n">
        <v>0</v>
      </c>
    </row>
    <row r="31" ht="19" customHeight="1">
      <c r="B31" s="8" t="inlineStr">
        <is>
          <t>Cumulative Cash (est.)</t>
        </is>
      </c>
      <c r="C31" s="9" t="n">
        <v>10985600</v>
      </c>
      <c r="D31" s="9" t="n">
        <v>5987280</v>
      </c>
      <c r="E31" s="10" t="inlineStr">
        <is>
          <t>Self-Funded</t>
        </is>
      </c>
    </row>
    <row r="32" ht="6" customHeight="1">
      <c r="B32" s="4" t="n"/>
    </row>
    <row r="33" ht="22" customHeight="1">
      <c r="B33" s="5" t="inlineStr">
        <is>
          <t xml:space="preserve">  MARKETPLACE</t>
        </is>
      </c>
    </row>
    <row r="34" ht="19" customHeight="1">
      <c r="B34" s="8" t="inlineStr">
        <is>
          <t>Protocol Adapters</t>
        </is>
      </c>
      <c r="C34" s="10" t="inlineStr">
        <is>
          <t>500+</t>
        </is>
      </c>
      <c r="D34" s="10" t="inlineStr">
        <is>
          <t>1,000+</t>
        </is>
      </c>
      <c r="E34" s="10" t="inlineStr">
        <is>
          <t>3,000+</t>
        </is>
      </c>
    </row>
    <row r="35" ht="19" customHeight="1">
      <c r="B35" s="6" t="inlineStr">
        <is>
          <t>Marketplace GMV</t>
        </is>
      </c>
      <c r="C35" s="7" t="n">
        <v>0</v>
      </c>
      <c r="D35" s="7" t="n">
        <v>12000000</v>
      </c>
      <c r="E35" s="7" t="n">
        <v>70000000</v>
      </c>
    </row>
    <row r="36" ht="19" customHeight="1">
      <c r="B36" s="8" t="inlineStr">
        <is>
          <t>Platform Fee (30%)</t>
        </is>
      </c>
      <c r="C36" s="9" t="n">
        <v>0</v>
      </c>
      <c r="D36" s="9" t="n">
        <v>3600000</v>
      </c>
      <c r="E36" s="16" t="n">
        <v>21000000</v>
      </c>
    </row>
    <row r="39" ht="18" customHeight="1">
      <c r="B39" s="17" t="inlineStr">
        <is>
          <t>HEADLINE METRICS</t>
        </is>
      </c>
      <c r="C39" s="18" t="inlineStr"/>
      <c r="D39" s="19" t="inlineStr"/>
      <c r="E39" s="20" t="inlineStr"/>
    </row>
    <row r="40" ht="30" customHeight="1">
      <c r="C40" s="21" t="inlineStr">
        <is>
          <t>$5.1M</t>
        </is>
      </c>
      <c r="D40" s="22" t="inlineStr">
        <is>
          <t>$14.8M</t>
        </is>
      </c>
      <c r="E40" s="23" t="inlineStr">
        <is>
          <t>$32.4M</t>
        </is>
      </c>
    </row>
    <row r="41" ht="18" customHeight="1">
      <c r="C41" s="24" t="inlineStr">
        <is>
          <t>Year 1 Ending
ARR</t>
        </is>
      </c>
      <c r="D41" s="25" t="inlineStr">
        <is>
          <t>Year 2 Ending
ARR (Series B)</t>
        </is>
      </c>
      <c r="E41" s="26" t="inlineStr">
        <is>
          <t>Year 3 Ending
ARR</t>
        </is>
      </c>
    </row>
    <row r="43" ht="18" customHeight="1">
      <c r="B43" s="27" t="inlineStr">
        <is>
          <t>KEY METRICS</t>
        </is>
      </c>
      <c r="C43" s="28" t="n"/>
      <c r="D43" s="29" t="n"/>
      <c r="E43" s="28" t="n"/>
    </row>
    <row r="44" ht="30" customHeight="1">
      <c r="C44" s="30" t="inlineStr">
        <is>
          <t>63% → 72%</t>
        </is>
      </c>
      <c r="D44" s="31" t="inlineStr">
        <is>
          <t>24 Months</t>
        </is>
      </c>
      <c r="E44" s="30" t="inlineStr">
        <is>
          <t>$830K</t>
        </is>
      </c>
    </row>
    <row r="45" ht="18" customHeight="1">
      <c r="C45" s="32" t="inlineStr">
        <is>
          <t>Gross Margin
Y1 to Y3</t>
        </is>
      </c>
      <c r="D45" s="33" t="inlineStr">
        <is>
          <t>Runway on
$18M Raise</t>
        </is>
      </c>
      <c r="E45" s="32" t="inlineStr">
        <is>
          <t>ARR per
Enterprise Site</t>
        </is>
      </c>
    </row>
  </sheetData>
  <mergeCells count="27">
    <mergeCell ref="C39"/>
    <mergeCell ref="D39"/>
    <mergeCell ref="B33:E33"/>
    <mergeCell ref="E41"/>
    <mergeCell ref="B5:E5"/>
    <mergeCell ref="B32:E32"/>
    <mergeCell ref="B4:E4"/>
    <mergeCell ref="D44"/>
    <mergeCell ref="C45"/>
    <mergeCell ref="E39"/>
    <mergeCell ref="B27:E27"/>
    <mergeCell ref="D40"/>
    <mergeCell ref="D45"/>
    <mergeCell ref="B12:E12"/>
    <mergeCell ref="B43:B45"/>
    <mergeCell ref="E44"/>
    <mergeCell ref="B2:E2"/>
    <mergeCell ref="C44"/>
    <mergeCell ref="C41"/>
    <mergeCell ref="D41"/>
    <mergeCell ref="B1:E1"/>
    <mergeCell ref="B39:B41"/>
    <mergeCell ref="C40"/>
    <mergeCell ref="E40"/>
    <mergeCell ref="B13:E13"/>
    <mergeCell ref="B28:E28"/>
    <mergeCell ref="E4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 fitToPage="1"/>
  </sheetPr>
  <dimension ref="B1:G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26" customHeight="1">
      <c r="B1" s="34" t="inlineStr">
        <is>
          <t>QBITEL BRIDGE  —  REVENUE MODEL  (FY2026 – FY2028)</t>
        </is>
      </c>
    </row>
    <row r="2" ht="18" customHeight="1">
      <c r="B2" s="35" t="inlineStr">
        <is>
          <t>Source: Series A Pitch Deck  |  Avg ARR/site: $830K  |  PS: $250K/engagement  |  Marketplace take: 30%</t>
        </is>
      </c>
    </row>
    <row r="3" ht="22" customHeight="1">
      <c r="B3" s="3" t="inlineStr">
        <is>
          <t>LINE ITEM</t>
        </is>
      </c>
      <c r="C3" s="3" t="inlineStr">
        <is>
          <t>FY2026 (Y1)</t>
        </is>
      </c>
      <c r="D3" s="3" t="inlineStr">
        <is>
          <t>FY2027 (Y2)</t>
        </is>
      </c>
      <c r="E3" s="3" t="inlineStr">
        <is>
          <t>FY2028 (Y3)</t>
        </is>
      </c>
      <c r="F3" s="3" t="inlineStr">
        <is>
          <t>CAGR Y1→Y3</t>
        </is>
      </c>
      <c r="G3" s="3" t="inlineStr">
        <is>
          <t>NOTES</t>
        </is>
      </c>
    </row>
    <row r="4" ht="22" customHeight="1">
      <c r="B4" s="36" t="inlineStr">
        <is>
          <t xml:space="preserve">  A.  SUBSCRIPTION REVENUE  (ARR-Based)</t>
        </is>
      </c>
    </row>
    <row r="5">
      <c r="B5" s="37" t="inlineStr">
        <is>
          <t>Ending ARR (stated in pitch)</t>
        </is>
      </c>
      <c r="C5" s="9" t="n">
        <v>5100000</v>
      </c>
      <c r="D5" s="9" t="n">
        <v>14800000</v>
      </c>
      <c r="E5" s="9" t="n">
        <v>32400000</v>
      </c>
      <c r="F5" s="38" t="inlineStr">
        <is>
          <t>—</t>
        </is>
      </c>
      <c r="G5" s="38" t="inlineStr">
        <is>
          <t>From pitch deck — primary metric</t>
        </is>
      </c>
    </row>
    <row r="6">
      <c r="B6" s="39" t="inlineStr">
        <is>
          <t>New Customers Added in Year</t>
        </is>
      </c>
      <c r="C6" s="40" t="n">
        <v>6</v>
      </c>
      <c r="D6" s="40" t="n">
        <v>10</v>
      </c>
      <c r="E6" s="40" t="n">
        <v>16</v>
      </c>
      <c r="F6" s="40" t="inlineStr">
        <is>
          <t>—</t>
        </is>
      </c>
      <c r="G6" s="40" t="inlineStr">
        <is>
          <t>Y1: 6 from beta+GA  |  Y2: 10  |  Y3: 16</t>
        </is>
      </c>
    </row>
    <row r="7">
      <c r="B7" s="37" t="inlineStr">
        <is>
          <t>Cumulative Active Customers</t>
        </is>
      </c>
      <c r="C7" s="38" t="n">
        <v>6</v>
      </c>
      <c r="D7" s="38" t="n">
        <v>16</v>
      </c>
      <c r="E7" s="38" t="n">
        <v>32</v>
      </c>
      <c r="F7" s="38" t="inlineStr">
        <is>
          <t>—</t>
        </is>
      </c>
      <c r="G7" s="38" t="inlineStr">
        <is>
          <t>Stated in pitch: 6 → 16 → 32</t>
        </is>
      </c>
    </row>
    <row r="8">
      <c r="B8" s="39" t="inlineStr">
        <is>
          <t>Average ARR per Site (Core + LLM Bundle)</t>
        </is>
      </c>
      <c r="C8" s="7" t="n">
        <v>830000</v>
      </c>
      <c r="D8" s="7" t="n">
        <v>830000</v>
      </c>
      <c r="E8" s="7" t="n">
        <v>1012500</v>
      </c>
      <c r="F8" s="40" t="inlineStr">
        <is>
          <t>—</t>
        </is>
      </c>
      <c r="G8" s="40" t="inlineStr">
        <is>
          <t>Y3 expansion via multi-site NRR</t>
        </is>
      </c>
    </row>
    <row r="9">
      <c r="B9" s="37" t="inlineStr">
        <is>
          <t>Avg Months Active — New Cohort</t>
        </is>
      </c>
      <c r="C9" s="38" t="n">
        <v>6.5</v>
      </c>
      <c r="D9" s="38" t="n">
        <v>6.5</v>
      </c>
      <c r="E9" s="38" t="n">
        <v>6.5</v>
      </c>
      <c r="F9" s="38" t="inlineStr">
        <is>
          <t>—</t>
        </is>
      </c>
      <c r="G9" s="38" t="inlineStr">
        <is>
          <t>Conservative: customers sign mid-year on avg</t>
        </is>
      </c>
    </row>
    <row r="10">
      <c r="B10" s="39" t="inlineStr">
        <is>
          <t>New Cohort Sub Revenue (ramp-adj.)</t>
        </is>
      </c>
      <c r="C10" s="7" t="n">
        <v>2145000</v>
      </c>
      <c r="D10" s="7" t="n">
        <v>5395000</v>
      </c>
      <c r="E10" s="7" t="n">
        <v>10920000</v>
      </c>
      <c r="F10" s="40" t="inlineStr">
        <is>
          <t>—</t>
        </is>
      </c>
      <c r="G10" s="40" t="inlineStr">
        <is>
          <t>New logos × $830K × 6.5/12</t>
        </is>
      </c>
    </row>
    <row r="11">
      <c r="B11" s="37" t="inlineStr">
        <is>
          <t>Prior Cohort Full-Year Revenue</t>
        </is>
      </c>
      <c r="C11" s="38" t="n">
        <v>0</v>
      </c>
      <c r="D11" s="9" t="n">
        <v>4980000</v>
      </c>
      <c r="E11" s="9" t="n">
        <v>13280000</v>
      </c>
      <c r="F11" s="38" t="inlineStr">
        <is>
          <t>—</t>
        </is>
      </c>
      <c r="G11" s="38" t="inlineStr">
        <is>
          <t>Existing base × $830K full year</t>
        </is>
      </c>
    </row>
    <row r="12">
      <c r="B12" s="39" t="inlineStr">
        <is>
          <t>Upsell / Expansion Revenue</t>
        </is>
      </c>
      <c r="C12" s="40" t="n">
        <v>0</v>
      </c>
      <c r="D12" s="7" t="n">
        <v>415000</v>
      </c>
      <c r="E12" s="7" t="n">
        <v>1245000</v>
      </c>
      <c r="F12" s="40" t="inlineStr">
        <is>
          <t>—</t>
        </is>
      </c>
      <c r="G12" s="40" t="inlineStr">
        <is>
          <t>NRR 130%+ drives expansion ARR</t>
        </is>
      </c>
    </row>
    <row r="13" ht="22" customHeight="1">
      <c r="B13" s="41" t="inlineStr">
        <is>
          <t>TOTAL SUBSCRIPTION REVENUE</t>
        </is>
      </c>
      <c r="C13" s="42" t="n">
        <v>3060000</v>
      </c>
      <c r="D13" s="42" t="n">
        <v>9830000</v>
      </c>
      <c r="E13" s="42" t="n">
        <v>21200000</v>
      </c>
      <c r="F13" s="43" t="inlineStr">
        <is>
          <t>79% CAGR</t>
        </is>
      </c>
      <c r="G13" s="43" t="inlineStr">
        <is>
          <t>79% CAGR</t>
        </is>
      </c>
    </row>
    <row r="14" ht="6" customHeight="1">
      <c r="B14" s="4" t="n"/>
    </row>
    <row r="15" ht="22" customHeight="1">
      <c r="B15" s="36" t="inlineStr">
        <is>
          <t xml:space="preserve">  B.  PROFESSIONAL SERVICES</t>
        </is>
      </c>
    </row>
    <row r="16">
      <c r="B16" s="37" t="inlineStr">
        <is>
          <t>Quantum Readiness Sprint — Engagements</t>
        </is>
      </c>
      <c r="C16" s="38" t="n">
        <v>6</v>
      </c>
      <c r="D16" s="38" t="n">
        <v>10</v>
      </c>
      <c r="E16" s="38" t="n">
        <v>16</v>
      </c>
      <c r="F16" s="38" t="inlineStr">
        <is>
          <t>—</t>
        </is>
      </c>
      <c r="G16" s="38" t="inlineStr">
        <is>
          <t>1 per new customer onboarding</t>
        </is>
      </c>
    </row>
    <row r="17">
      <c r="B17" s="39" t="inlineStr">
        <is>
          <t>Revenue per Engagement</t>
        </is>
      </c>
      <c r="C17" s="7" t="n">
        <v>250000</v>
      </c>
      <c r="D17" s="7" t="n">
        <v>250000</v>
      </c>
      <c r="E17" s="7" t="n">
        <v>250000</v>
      </c>
      <c r="F17" s="40" t="inlineStr">
        <is>
          <t>—</t>
        </is>
      </c>
      <c r="G17" s="40" t="inlineStr">
        <is>
          <t>Fixed fee per pitch deck</t>
        </is>
      </c>
    </row>
    <row r="18">
      <c r="B18" s="37" t="inlineStr">
        <is>
          <t>PS Revenue</t>
        </is>
      </c>
      <c r="C18" s="9" t="n">
        <v>1500000</v>
      </c>
      <c r="D18" s="9" t="n">
        <v>2500000</v>
      </c>
      <c r="E18" s="9" t="n">
        <v>4000000</v>
      </c>
      <c r="F18" s="38" t="inlineStr">
        <is>
          <t>—</t>
        </is>
      </c>
      <c r="G18" s="38" t="inlineStr">
        <is>
          <t>$250K × new customers</t>
        </is>
      </c>
    </row>
    <row r="19">
      <c r="B19" s="39" t="inlineStr">
        <is>
          <t>PS Gross Margin</t>
        </is>
      </c>
      <c r="C19" s="40" t="inlineStr">
        <is>
          <t>50%</t>
        </is>
      </c>
      <c r="D19" s="40" t="inlineStr">
        <is>
          <t>50%</t>
        </is>
      </c>
      <c r="E19" s="40" t="inlineStr">
        <is>
          <t>50%</t>
        </is>
      </c>
      <c r="F19" s="40" t="inlineStr">
        <is>
          <t>—</t>
        </is>
      </c>
      <c r="G19" s="40" t="inlineStr">
        <is>
          <t>High-margin, repeatable engagement</t>
        </is>
      </c>
    </row>
    <row r="20">
      <c r="B20" s="37" t="inlineStr">
        <is>
          <t>PS Gross Profit</t>
        </is>
      </c>
      <c r="C20" s="9" t="n">
        <v>750000</v>
      </c>
      <c r="D20" s="9" t="n">
        <v>1250000</v>
      </c>
      <c r="E20" s="9" t="n">
        <v>2000000</v>
      </c>
      <c r="F20" s="38" t="inlineStr">
        <is>
          <t>—</t>
        </is>
      </c>
      <c r="G20" s="38" t="inlineStr"/>
    </row>
    <row r="21" ht="22" customHeight="1">
      <c r="B21" s="41" t="inlineStr">
        <is>
          <t>TOTAL PROFESSIONAL SERVICES</t>
        </is>
      </c>
      <c r="C21" s="42" t="n">
        <v>1500000</v>
      </c>
      <c r="D21" s="42" t="n">
        <v>2500000</v>
      </c>
      <c r="E21" s="42" t="n">
        <v>4000000</v>
      </c>
      <c r="F21" s="43" t="inlineStr">
        <is>
          <t>63% CAGR</t>
        </is>
      </c>
      <c r="G21" s="43" t="inlineStr">
        <is>
          <t>63% CAGR</t>
        </is>
      </c>
    </row>
    <row r="22" ht="6" customHeight="1">
      <c r="B22" s="4" t="n"/>
    </row>
    <row r="23" ht="22" customHeight="1">
      <c r="B23" s="36" t="inlineStr">
        <is>
          <t xml:space="preserve">  C.  MARKETPLACE  (Protocol Adapters — 30% Platform Fee)</t>
        </is>
      </c>
    </row>
    <row r="24">
      <c r="B24" s="37" t="inlineStr">
        <is>
          <t>Protocol Adapters Live</t>
        </is>
      </c>
      <c r="C24" s="38" t="inlineStr">
        <is>
          <t>500+</t>
        </is>
      </c>
      <c r="D24" s="38" t="inlineStr">
        <is>
          <t>1,000+</t>
        </is>
      </c>
      <c r="E24" s="38" t="inlineStr">
        <is>
          <t>3,000+</t>
        </is>
      </c>
      <c r="F24" s="38" t="inlineStr">
        <is>
          <t>—</t>
        </is>
      </c>
      <c r="G24" s="38" t="inlineStr">
        <is>
          <t>From pitch deck roadmap</t>
        </is>
      </c>
    </row>
    <row r="25">
      <c r="B25" s="39" t="inlineStr">
        <is>
          <t>Marketplace GMV</t>
        </is>
      </c>
      <c r="C25" s="40" t="n">
        <v>0</v>
      </c>
      <c r="D25" s="7" t="n">
        <v>12000000</v>
      </c>
      <c r="E25" s="7" t="n">
        <v>70000000</v>
      </c>
      <c r="F25" s="40" t="inlineStr">
        <is>
          <t>—</t>
        </is>
      </c>
      <c r="G25" s="40" t="inlineStr">
        <is>
          <t>From pitch deck: $12M Y2 → $70M Y3</t>
        </is>
      </c>
    </row>
    <row r="26">
      <c r="B26" s="37" t="inlineStr">
        <is>
          <t>QBITEL Platform Fee (30%)</t>
        </is>
      </c>
      <c r="C26" s="38" t="n">
        <v>0</v>
      </c>
      <c r="D26" s="9" t="n">
        <v>3600000</v>
      </c>
      <c r="E26" s="9" t="n">
        <v>21000000</v>
      </c>
      <c r="F26" s="38" t="inlineStr">
        <is>
          <t>—</t>
        </is>
      </c>
      <c r="G26" s="38" t="inlineStr">
        <is>
          <t>30% of GMV — from pitch deck</t>
        </is>
      </c>
    </row>
    <row r="27">
      <c r="B27" s="39" t="inlineStr">
        <is>
          <t>Revenue Recognition (partial yr)</t>
        </is>
      </c>
      <c r="C27" s="40" t="n">
        <v>0</v>
      </c>
      <c r="D27" s="7" t="n">
        <v>1008000</v>
      </c>
      <c r="E27" s="7" t="n">
        <v>6300000</v>
      </c>
      <c r="F27" s="40" t="inlineStr">
        <is>
          <t>—</t>
        </is>
      </c>
      <c r="G27" s="40" t="inlineStr">
        <is>
          <t>Conservative: 28% recognized Y2, 30% Y3</t>
        </is>
      </c>
    </row>
    <row r="28">
      <c r="B28" s="37" t="inlineStr">
        <is>
          <t>Marketplace Gross Margin</t>
        </is>
      </c>
      <c r="C28" s="38" t="inlineStr">
        <is>
          <t>90%</t>
        </is>
      </c>
      <c r="D28" s="38" t="inlineStr">
        <is>
          <t>90%</t>
        </is>
      </c>
      <c r="E28" s="38" t="inlineStr">
        <is>
          <t>90%</t>
        </is>
      </c>
      <c r="F28" s="38" t="inlineStr">
        <is>
          <t>—</t>
        </is>
      </c>
      <c r="G28" s="38" t="inlineStr">
        <is>
          <t>Near-zero marginal cost per transaction</t>
        </is>
      </c>
    </row>
    <row r="29" ht="22" customHeight="1">
      <c r="B29" s="41" t="inlineStr">
        <is>
          <t>TOTAL MARKETPLACE REVENUE</t>
        </is>
      </c>
      <c r="C29" s="42" t="n">
        <v>0</v>
      </c>
      <c r="D29" s="42" t="n">
        <v>1008000</v>
      </c>
      <c r="E29" s="42" t="n">
        <v>6300000</v>
      </c>
      <c r="F29" s="43" t="inlineStr">
        <is>
          <t>N/M → $6.3M</t>
        </is>
      </c>
      <c r="G29" s="43" t="inlineStr">
        <is>
          <t>N/M → $6.3M</t>
        </is>
      </c>
    </row>
    <row r="31" ht="28" customHeight="1">
      <c r="B31" s="44" t="inlineStr">
        <is>
          <t>TOTAL REVENUE  (All Streams)</t>
        </is>
      </c>
      <c r="C31" s="45" t="n">
        <v>4560000</v>
      </c>
      <c r="D31" s="45" t="n">
        <v>13338000</v>
      </c>
      <c r="E31" s="45" t="n">
        <v>31500000</v>
      </c>
      <c r="F31" s="46" t="inlineStr">
        <is>
          <t>163% CAGR</t>
        </is>
      </c>
      <c r="G31" s="47" t="n"/>
    </row>
    <row r="33" ht="22" customHeight="1">
      <c r="B33" s="36" t="inlineStr">
        <is>
          <t xml:space="preserve">  D.  COST OF REVENUE  &amp;  GROSS PROFIT</t>
        </is>
      </c>
    </row>
    <row r="34">
      <c r="B34" s="37" t="inlineStr">
        <is>
          <t>Subscription COGS (28% of sub rev)</t>
        </is>
      </c>
      <c r="C34" s="9" t="n">
        <v>856800</v>
      </c>
      <c r="D34" s="9" t="n">
        <v>2752400</v>
      </c>
      <c r="E34" s="9" t="n">
        <v>5936000</v>
      </c>
      <c r="F34" s="38" t="inlineStr">
        <is>
          <t>—</t>
        </is>
      </c>
      <c r="G34" s="38" t="inlineStr">
        <is>
          <t>Server infra, support, AI compute</t>
        </is>
      </c>
    </row>
    <row r="35">
      <c r="B35" s="39" t="inlineStr">
        <is>
          <t>PS COGS (50% of PS rev)</t>
        </is>
      </c>
      <c r="C35" s="7" t="n">
        <v>750000</v>
      </c>
      <c r="D35" s="7" t="n">
        <v>1250000</v>
      </c>
      <c r="E35" s="7" t="n">
        <v>2000000</v>
      </c>
      <c r="F35" s="40" t="inlineStr">
        <is>
          <t>—</t>
        </is>
      </c>
      <c r="G35" s="40" t="inlineStr">
        <is>
          <t>Delivery engineers, travel</t>
        </is>
      </c>
    </row>
    <row r="36">
      <c r="B36" s="37" t="inlineStr">
        <is>
          <t>Marketplace COGS (10% of mkt rev)</t>
        </is>
      </c>
      <c r="C36" s="38" t="n">
        <v>0</v>
      </c>
      <c r="D36" s="9" t="n">
        <v>100800</v>
      </c>
      <c r="E36" s="9" t="n">
        <v>630000</v>
      </c>
      <c r="F36" s="38" t="inlineStr">
        <is>
          <t>—</t>
        </is>
      </c>
      <c r="G36" s="38" t="inlineStr">
        <is>
          <t>Payment processing, QA</t>
        </is>
      </c>
    </row>
    <row r="37">
      <c r="B37" s="48" t="inlineStr">
        <is>
          <t>Total COGS</t>
        </is>
      </c>
      <c r="C37" s="49" t="n">
        <v>1606800</v>
      </c>
      <c r="D37" s="49" t="n">
        <v>4103200</v>
      </c>
      <c r="E37" s="49" t="n">
        <v>8566000</v>
      </c>
      <c r="F37" s="48" t="inlineStr">
        <is>
          <t>—</t>
        </is>
      </c>
      <c r="G37" s="48" t="inlineStr"/>
    </row>
    <row r="38">
      <c r="B38" s="48" t="inlineStr">
        <is>
          <t>Gross Profit</t>
        </is>
      </c>
      <c r="C38" s="49" t="n">
        <v>2953200</v>
      </c>
      <c r="D38" s="49" t="n">
        <v>9234800</v>
      </c>
      <c r="E38" s="49" t="n">
        <v>22934000</v>
      </c>
      <c r="F38" s="48" t="inlineStr">
        <is>
          <t>—</t>
        </is>
      </c>
      <c r="G38" s="48" t="inlineStr"/>
    </row>
    <row r="39">
      <c r="B39" s="39" t="inlineStr">
        <is>
          <t>Gross Margin %</t>
        </is>
      </c>
      <c r="C39" s="40" t="inlineStr">
        <is>
          <t>64.8%</t>
        </is>
      </c>
      <c r="D39" s="40" t="inlineStr">
        <is>
          <t>69.2%</t>
        </is>
      </c>
      <c r="E39" s="40" t="inlineStr">
        <is>
          <t>72.8%</t>
        </is>
      </c>
      <c r="F39" s="40" t="inlineStr">
        <is>
          <t>—</t>
        </is>
      </c>
      <c r="G39" s="40" t="inlineStr">
        <is>
          <t>Expanding with scale and automation</t>
        </is>
      </c>
    </row>
    <row r="42">
      <c r="B42" t="inlineStr">
        <is>
          <t>Stream</t>
        </is>
      </c>
      <c r="C42" t="inlineStr">
        <is>
          <t>FY2026</t>
        </is>
      </c>
      <c r="D42" t="inlineStr">
        <is>
          <t>FY2027</t>
        </is>
      </c>
      <c r="E42" t="inlineStr">
        <is>
          <t>FY2028</t>
        </is>
      </c>
    </row>
    <row r="43">
      <c r="B43" t="inlineStr">
        <is>
          <t>Subscription</t>
        </is>
      </c>
      <c r="C43" t="n">
        <v>3060000</v>
      </c>
      <c r="D43" t="n">
        <v>9830000</v>
      </c>
      <c r="E43" t="n">
        <v>21200000</v>
      </c>
    </row>
    <row r="44">
      <c r="B44" t="inlineStr">
        <is>
          <t>Prof. Services</t>
        </is>
      </c>
      <c r="C44" t="n">
        <v>1500000</v>
      </c>
      <c r="D44" t="n">
        <v>2500000</v>
      </c>
      <c r="E44" t="n">
        <v>4000000</v>
      </c>
    </row>
    <row r="45">
      <c r="B45" t="inlineStr">
        <is>
          <t>Marketplace</t>
        </is>
      </c>
      <c r="C45" t="n">
        <v>0</v>
      </c>
      <c r="D45" t="n">
        <v>1008000</v>
      </c>
      <c r="E45" t="n">
        <v>6300000</v>
      </c>
    </row>
  </sheetData>
  <mergeCells count="8">
    <mergeCell ref="B2:G2"/>
    <mergeCell ref="B22:G22"/>
    <mergeCell ref="B14:G14"/>
    <mergeCell ref="B23:G23"/>
    <mergeCell ref="B1:G1"/>
    <mergeCell ref="B4:G4"/>
    <mergeCell ref="B15:G15"/>
    <mergeCell ref="B33:G3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0A500"/>
    <outlinePr summaryBelow="1" summaryRight="1"/>
    <pageSetUpPr fitToPage="1"/>
  </sheetPr>
  <dimension ref="B1:F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2" customWidth="1" min="5" max="5"/>
    <col width="14" customWidth="1" min="6" max="6"/>
    <col width="2" customWidth="1" min="7" max="7"/>
  </cols>
  <sheetData>
    <row r="1" ht="26" customHeight="1">
      <c r="B1" s="34" t="inlineStr">
        <is>
          <t>USE OF FUNDS  —  $18,000,000 SERIES A</t>
        </is>
      </c>
    </row>
    <row r="2" ht="18" customHeight="1">
      <c r="B2" s="35" t="inlineStr">
        <is>
          <t>Source: Pitch Deck Page 11  |  45% Product  |  25% GTM  |  20% Certs  |  10% Working Capital</t>
        </is>
      </c>
    </row>
    <row r="3" ht="22" customHeight="1">
      <c r="B3" s="3" t="inlineStr">
        <is>
          <t>INVESTMENT LINE ITEM</t>
        </is>
      </c>
      <c r="C3" s="3" t="inlineStr">
        <is>
          <t>YEAR 1</t>
        </is>
      </c>
      <c r="D3" s="3" t="inlineStr">
        <is>
          <t>YEAR 2</t>
        </is>
      </c>
      <c r="E3" s="3" t="inlineStr">
        <is>
          <t>TOTAL ALLOCATED</t>
        </is>
      </c>
      <c r="F3" s="3" t="inlineStr">
        <is>
          <t>% OF RAISE</t>
        </is>
      </c>
    </row>
    <row r="4" ht="24" customHeight="1">
      <c r="B4" s="50" t="inlineStr">
        <is>
          <t>BUCKET 1 — PRODUCT &amp; AI COMPLETION  (45%  |  $8,100,000)</t>
        </is>
      </c>
    </row>
    <row r="5" ht="19" customHeight="1">
      <c r="B5" s="38" t="inlineStr">
        <is>
          <t>Autonomous AI engine — accuracy expansion to 95%+</t>
        </is>
      </c>
      <c r="C5" s="9" t="n">
        <v>2800000</v>
      </c>
      <c r="D5" s="9" t="n">
        <v>1400000</v>
      </c>
      <c r="E5" s="9" t="n">
        <v>4200000</v>
      </c>
      <c r="F5" s="51" t="inlineStr">
        <is>
          <t>23.3%</t>
        </is>
      </c>
    </row>
    <row r="6" ht="19" customHeight="1">
      <c r="B6" s="40" t="inlineStr">
        <is>
          <t>Protocol discovery SDK — all 6 languages (Python, Java, Go, C#, Rust, TS)</t>
        </is>
      </c>
      <c r="C6" s="7" t="n">
        <v>1200000</v>
      </c>
      <c r="D6" s="7" t="n">
        <v>600000</v>
      </c>
      <c r="E6" s="7" t="n">
        <v>1800000</v>
      </c>
      <c r="F6" s="52" t="inlineStr">
        <is>
          <t>10.0%</t>
        </is>
      </c>
    </row>
    <row r="7" ht="19" customHeight="1">
      <c r="B7" s="38" t="inlineStr">
        <is>
          <t>Air-gap deployment hardening (Ollama/vLLM pipeline)</t>
        </is>
      </c>
      <c r="C7" s="9" t="n">
        <v>600000</v>
      </c>
      <c r="D7" s="9" t="n">
        <v>300000</v>
      </c>
      <c r="E7" s="9" t="n">
        <v>900000</v>
      </c>
      <c r="F7" s="51" t="inlineStr">
        <is>
          <t>5.0%</t>
        </is>
      </c>
    </row>
    <row r="8" ht="19" customHeight="1">
      <c r="B8" s="40" t="inlineStr">
        <is>
          <t>Post-quantum crypto engine (ML-KEM Kyber-1024, ML-DSA Dilithium-5)</t>
        </is>
      </c>
      <c r="C8" s="7" t="n">
        <v>500000</v>
      </c>
      <c r="D8" s="7" t="n">
        <v>250000</v>
      </c>
      <c r="E8" s="7" t="n">
        <v>750000</v>
      </c>
      <c r="F8" s="52" t="inlineStr">
        <is>
          <t>4.2%</t>
        </is>
      </c>
    </row>
    <row r="9" ht="19" customHeight="1">
      <c r="B9" s="38" t="inlineStr">
        <is>
          <t>Compliance automation — 9 framework evidence engine</t>
        </is>
      </c>
      <c r="C9" s="9" t="n">
        <v>400000</v>
      </c>
      <c r="D9" s="9" t="n">
        <v>200000</v>
      </c>
      <c r="E9" s="9" t="n">
        <v>600000</v>
      </c>
      <c r="F9" s="51" t="inlineStr">
        <is>
          <t>3.3%</t>
        </is>
      </c>
    </row>
    <row r="10" ht="19" customHeight="1">
      <c r="B10" s="40" t="inlineStr">
        <is>
          <t>QA, security testing, DevSecOps infrastructure</t>
        </is>
      </c>
      <c r="C10" s="7" t="n">
        <v>300000</v>
      </c>
      <c r="D10" s="7" t="n">
        <v>300000</v>
      </c>
      <c r="E10" s="7" t="n">
        <v>600000</v>
      </c>
      <c r="F10" s="52" t="inlineStr">
        <is>
          <t>3.3%</t>
        </is>
      </c>
    </row>
    <row r="11" ht="19" customHeight="1">
      <c r="B11" s="38" t="inlineStr">
        <is>
          <t>Cloud infra / co-location (prod + DR)</t>
        </is>
      </c>
      <c r="C11" s="9" t="n">
        <v>150000</v>
      </c>
      <c r="D11" s="9" t="n">
        <v>100000</v>
      </c>
      <c r="E11" s="9" t="n">
        <v>250000</v>
      </c>
      <c r="F11" s="51" t="inlineStr">
        <is>
          <t>1.4%</t>
        </is>
      </c>
    </row>
    <row r="12" ht="22" customHeight="1">
      <c r="B12" s="53" t="inlineStr">
        <is>
          <t>Subtotal — 45%</t>
        </is>
      </c>
      <c r="C12" s="42" t="n">
        <v>5950000</v>
      </c>
      <c r="D12" s="42" t="n">
        <v>3150000</v>
      </c>
      <c r="E12" s="42" t="n">
        <v>8100000</v>
      </c>
      <c r="F12" s="54" t="inlineStr">
        <is>
          <t>45%</t>
        </is>
      </c>
    </row>
    <row r="14" ht="24" customHeight="1">
      <c r="B14" s="55" t="inlineStr">
        <is>
          <t>BUCKET 2 — GO-TO-MARKET EXPANSION  (25%  |  $4,500,000)</t>
        </is>
      </c>
    </row>
    <row r="15" ht="19" customHeight="1">
      <c r="B15" s="38" t="inlineStr">
        <is>
          <t>Enterprise Account Executives — 10 AEs  (pitch deck stated)</t>
        </is>
      </c>
      <c r="C15" s="9" t="n">
        <v>2200000</v>
      </c>
      <c r="D15" s="9" t="n">
        <v>1100000</v>
      </c>
      <c r="E15" s="9" t="n">
        <v>3300000</v>
      </c>
      <c r="F15" s="51" t="inlineStr">
        <is>
          <t>18.3%</t>
        </is>
      </c>
    </row>
    <row r="16" ht="19" customHeight="1">
      <c r="B16" s="40" t="inlineStr">
        <is>
          <t>Vertical-specific marketing — banking, healthcare, energy</t>
        </is>
      </c>
      <c r="C16" s="7" t="n">
        <v>400000</v>
      </c>
      <c r="D16" s="7" t="n">
        <v>200000</v>
      </c>
      <c r="E16" s="7" t="n">
        <v>600000</v>
      </c>
      <c r="F16" s="52" t="inlineStr">
        <is>
          <t>3.3%</t>
        </is>
      </c>
    </row>
    <row r="17" ht="19" customHeight="1">
      <c r="B17" s="38" t="inlineStr">
        <is>
          <t>Partner channel development (Accenture, Deloitte, IBM — from deck)</t>
        </is>
      </c>
      <c r="C17" s="9" t="n">
        <v>200000</v>
      </c>
      <c r="D17" s="9" t="n">
        <v>100000</v>
      </c>
      <c r="E17" s="9" t="n">
        <v>300000</v>
      </c>
      <c r="F17" s="51" t="inlineStr">
        <is>
          <t>1.7%</t>
        </is>
      </c>
    </row>
    <row r="18" ht="19" customHeight="1">
      <c r="B18" s="40" t="inlineStr">
        <is>
          <t>Customer success &amp; implementation engineers</t>
        </is>
      </c>
      <c r="C18" s="7" t="n">
        <v>200000</v>
      </c>
      <c r="D18" s="7" t="n">
        <v>100000</v>
      </c>
      <c r="E18" s="7" t="n">
        <v>300000</v>
      </c>
      <c r="F18" s="52" t="inlineStr">
        <is>
          <t>1.7%</t>
        </is>
      </c>
    </row>
    <row r="19" ht="22" customHeight="1">
      <c r="B19" s="56" t="inlineStr">
        <is>
          <t>Subtotal — 25%</t>
        </is>
      </c>
      <c r="C19" s="57" t="n">
        <v>3000000</v>
      </c>
      <c r="D19" s="57" t="n">
        <v>1500000</v>
      </c>
      <c r="E19" s="57" t="n">
        <v>4500000</v>
      </c>
      <c r="F19" s="58" t="inlineStr">
        <is>
          <t>25%</t>
        </is>
      </c>
    </row>
    <row r="21" ht="24" customHeight="1">
      <c r="B21" s="50" t="inlineStr">
        <is>
          <t>BUCKET 3 — CERTIFICATIONS &amp; PARTNERSHIPS  (20%  |  $3,600,000)</t>
        </is>
      </c>
    </row>
    <row r="22" ht="19" customHeight="1">
      <c r="B22" s="38" t="inlineStr">
        <is>
          <t>FedRAMP Moderate Authorization  (3PAO audit + remediation)</t>
        </is>
      </c>
      <c r="C22" s="9" t="n">
        <v>900000</v>
      </c>
      <c r="D22" s="9" t="n">
        <v>700000</v>
      </c>
      <c r="E22" s="9" t="n">
        <v>1600000</v>
      </c>
      <c r="F22" s="51" t="inlineStr">
        <is>
          <t>8.9%</t>
        </is>
      </c>
    </row>
    <row r="23" ht="19" customHeight="1">
      <c r="B23" s="40" t="inlineStr">
        <is>
          <t>SOC 2 Type II certification</t>
        </is>
      </c>
      <c r="C23" s="7" t="n">
        <v>400000</v>
      </c>
      <c r="D23" s="7" t="n">
        <v>200000</v>
      </c>
      <c r="E23" s="7" t="n">
        <v>600000</v>
      </c>
      <c r="F23" s="52" t="inlineStr">
        <is>
          <t>3.3%</t>
        </is>
      </c>
    </row>
    <row r="24" ht="19" customHeight="1">
      <c r="B24" s="38" t="inlineStr">
        <is>
          <t>FIPS 140-3 validation  (NIST CMVP programme)</t>
        </is>
      </c>
      <c r="C24" s="9" t="n">
        <v>400000</v>
      </c>
      <c r="D24" s="9" t="n">
        <v>200000</v>
      </c>
      <c r="E24" s="9" t="n">
        <v>600000</v>
      </c>
      <c r="F24" s="51" t="inlineStr">
        <is>
          <t>3.3%</t>
        </is>
      </c>
    </row>
    <row r="25" ht="19" customHeight="1">
      <c r="B25" s="40" t="inlineStr">
        <is>
          <t>Strategic integrator partnerships — IBM, Accenture, Deloitte</t>
        </is>
      </c>
      <c r="C25" s="7" t="n">
        <v>200000</v>
      </c>
      <c r="D25" s="7" t="n">
        <v>100000</v>
      </c>
      <c r="E25" s="7" t="n">
        <v>300000</v>
      </c>
      <c r="F25" s="52" t="inlineStr">
        <is>
          <t>1.7%</t>
        </is>
      </c>
    </row>
    <row r="26" ht="19" customHeight="1">
      <c r="B26" s="38" t="inlineStr">
        <is>
          <t>Legal, IP protection, regulatory counsel</t>
        </is>
      </c>
      <c r="C26" s="9" t="n">
        <v>350000</v>
      </c>
      <c r="D26" s="9" t="n">
        <v>150000</v>
      </c>
      <c r="E26" s="9" t="n">
        <v>500000</v>
      </c>
      <c r="F26" s="51" t="inlineStr">
        <is>
          <t>2.8%</t>
        </is>
      </c>
    </row>
    <row r="27" ht="22" customHeight="1">
      <c r="B27" s="53" t="inlineStr">
        <is>
          <t>Subtotal — 20%</t>
        </is>
      </c>
      <c r="C27" s="42" t="n">
        <v>2250000</v>
      </c>
      <c r="D27" s="42" t="n">
        <v>1350000</v>
      </c>
      <c r="E27" s="42" t="n">
        <v>3600000</v>
      </c>
      <c r="F27" s="54" t="inlineStr">
        <is>
          <t>20%</t>
        </is>
      </c>
    </row>
    <row r="29" ht="24" customHeight="1">
      <c r="B29" s="55" t="inlineStr">
        <is>
          <t>BUCKET 4 — WORKING CAPITAL  (10%  |  $1,800,000)</t>
        </is>
      </c>
    </row>
    <row r="30" ht="19" customHeight="1">
      <c r="B30" s="38" t="inlineStr">
        <is>
          <t>Legal, finance infrastructure</t>
        </is>
      </c>
      <c r="C30" s="9" t="n">
        <v>500000</v>
      </c>
      <c r="D30" s="9" t="n">
        <v>200000</v>
      </c>
      <c r="E30" s="9" t="n">
        <v>700000</v>
      </c>
      <c r="F30" s="51" t="inlineStr">
        <is>
          <t>3.9%</t>
        </is>
      </c>
    </row>
    <row r="31" ht="19" customHeight="1">
      <c r="B31" s="40" t="inlineStr">
        <is>
          <t>Customer success headcount for Year 1 deployments</t>
        </is>
      </c>
      <c r="C31" s="7" t="n">
        <v>450000</v>
      </c>
      <c r="D31" s="7" t="n">
        <v>250000</v>
      </c>
      <c r="E31" s="7" t="n">
        <v>700000</v>
      </c>
      <c r="F31" s="52" t="inlineStr">
        <is>
          <t>3.9%</t>
        </is>
      </c>
    </row>
    <row r="32" ht="19" customHeight="1">
      <c r="B32" s="38" t="inlineStr">
        <is>
          <t>Office, IT equipment, operations</t>
        </is>
      </c>
      <c r="C32" s="9" t="n">
        <v>200000</v>
      </c>
      <c r="D32" s="9" t="n">
        <v>100000</v>
      </c>
      <c r="E32" s="9" t="n">
        <v>300000</v>
      </c>
      <c r="F32" s="51" t="inlineStr">
        <is>
          <t>1.7%</t>
        </is>
      </c>
    </row>
    <row r="33" ht="19" customHeight="1">
      <c r="B33" s="40" t="inlineStr">
        <is>
          <t>Contingency reserve</t>
        </is>
      </c>
      <c r="C33" s="7" t="n">
        <v>100000</v>
      </c>
      <c r="D33" s="7" t="n">
        <v>0</v>
      </c>
      <c r="E33" s="7" t="n">
        <v>100000</v>
      </c>
      <c r="F33" s="52" t="inlineStr">
        <is>
          <t>0.6%</t>
        </is>
      </c>
    </row>
    <row r="34" ht="22" customHeight="1">
      <c r="B34" s="56" t="inlineStr">
        <is>
          <t>Subtotal — 10%</t>
        </is>
      </c>
      <c r="C34" s="57" t="n">
        <v>1250000</v>
      </c>
      <c r="D34" s="57" t="n">
        <v>550000</v>
      </c>
      <c r="E34" s="57" t="n">
        <v>1800000</v>
      </c>
      <c r="F34" s="58" t="inlineStr">
        <is>
          <t>10%</t>
        </is>
      </c>
    </row>
    <row r="36" ht="28" customHeight="1">
      <c r="B36" s="59" t="inlineStr">
        <is>
          <t>TOTAL  —  SERIES A  $18M</t>
        </is>
      </c>
      <c r="C36" s="45" t="n">
        <v>12450000</v>
      </c>
      <c r="D36" s="45" t="n">
        <v>6550000</v>
      </c>
      <c r="E36" s="45" t="n">
        <v>18000000</v>
      </c>
      <c r="F36" s="60" t="inlineStr">
        <is>
          <t>100%</t>
        </is>
      </c>
    </row>
    <row r="39">
      <c r="B39" t="inlineStr">
        <is>
          <t>Month</t>
        </is>
      </c>
      <c r="C39" t="inlineStr">
        <is>
          <t>Cumul. Spend ($)</t>
        </is>
      </c>
      <c r="D39" t="inlineStr">
        <is>
          <t>Cumul. Revenue ($)</t>
        </is>
      </c>
    </row>
    <row r="40">
      <c r="B40" t="inlineStr">
        <is>
          <t>M1</t>
        </is>
      </c>
      <c r="C40" t="n">
        <v>750000</v>
      </c>
      <c r="D40" t="n">
        <v>380000</v>
      </c>
    </row>
    <row r="41">
      <c r="B41" t="inlineStr">
        <is>
          <t>M2</t>
        </is>
      </c>
      <c r="C41" t="n">
        <v>1500000</v>
      </c>
      <c r="D41" t="n">
        <v>760000</v>
      </c>
    </row>
    <row r="42">
      <c r="B42" t="inlineStr">
        <is>
          <t>M3</t>
        </is>
      </c>
      <c r="C42" t="n">
        <v>2250000</v>
      </c>
      <c r="D42" t="n">
        <v>1140000</v>
      </c>
    </row>
    <row r="43">
      <c r="B43" t="inlineStr">
        <is>
          <t>M4</t>
        </is>
      </c>
      <c r="C43" t="n">
        <v>3000000</v>
      </c>
      <c r="D43" t="n">
        <v>1900000</v>
      </c>
    </row>
    <row r="44">
      <c r="B44" t="inlineStr">
        <is>
          <t>M5</t>
        </is>
      </c>
      <c r="C44" t="n">
        <v>3750000</v>
      </c>
      <c r="D44" t="n">
        <v>2660000</v>
      </c>
    </row>
    <row r="45">
      <c r="B45" t="inlineStr">
        <is>
          <t>M6</t>
        </is>
      </c>
      <c r="C45" t="n">
        <v>4500000</v>
      </c>
      <c r="D45" t="n">
        <v>3420000</v>
      </c>
    </row>
    <row r="46">
      <c r="B46" t="inlineStr">
        <is>
          <t>M7</t>
        </is>
      </c>
      <c r="C46" t="n">
        <v>5250000</v>
      </c>
      <c r="D46" t="n">
        <v>4560000</v>
      </c>
    </row>
    <row r="47">
      <c r="B47" t="inlineStr">
        <is>
          <t>M8</t>
        </is>
      </c>
      <c r="C47" t="n">
        <v>6000000</v>
      </c>
      <c r="D47" t="n">
        <v>5700000</v>
      </c>
    </row>
    <row r="48">
      <c r="B48" t="inlineStr">
        <is>
          <t>M9</t>
        </is>
      </c>
      <c r="C48" t="n">
        <v>6750000</v>
      </c>
      <c r="D48" t="n">
        <v>6840000</v>
      </c>
    </row>
    <row r="49">
      <c r="B49" t="inlineStr">
        <is>
          <t>M10</t>
        </is>
      </c>
      <c r="C49" t="n">
        <v>7500000</v>
      </c>
      <c r="D49" t="n">
        <v>8360000</v>
      </c>
    </row>
    <row r="50">
      <c r="B50" t="inlineStr">
        <is>
          <t>M11</t>
        </is>
      </c>
      <c r="C50" t="n">
        <v>8250000</v>
      </c>
      <c r="D50" t="n">
        <v>9880000</v>
      </c>
    </row>
    <row r="51">
      <c r="B51" t="inlineStr">
        <is>
          <t>M12</t>
        </is>
      </c>
      <c r="C51" t="n">
        <v>9000000</v>
      </c>
      <c r="D51" t="n">
        <v>11400000</v>
      </c>
    </row>
    <row r="52">
      <c r="B52" t="inlineStr">
        <is>
          <t>M13</t>
        </is>
      </c>
      <c r="C52" t="n">
        <v>9750000</v>
      </c>
      <c r="D52" t="n">
        <v>12512000</v>
      </c>
    </row>
    <row r="53">
      <c r="B53" t="inlineStr">
        <is>
          <t>M14</t>
        </is>
      </c>
      <c r="C53" t="n">
        <v>10500000</v>
      </c>
      <c r="D53" t="n">
        <v>13624000</v>
      </c>
    </row>
    <row r="54">
      <c r="B54" t="inlineStr">
        <is>
          <t>M15</t>
        </is>
      </c>
      <c r="C54" t="n">
        <v>11250000</v>
      </c>
      <c r="D54" t="n">
        <v>14736000</v>
      </c>
    </row>
    <row r="55">
      <c r="B55" t="inlineStr">
        <is>
          <t>M16</t>
        </is>
      </c>
      <c r="C55" t="n">
        <v>12000000</v>
      </c>
      <c r="D55" t="n">
        <v>15848000</v>
      </c>
    </row>
    <row r="56">
      <c r="B56" t="inlineStr">
        <is>
          <t>M17</t>
        </is>
      </c>
      <c r="C56" t="n">
        <v>12750000</v>
      </c>
      <c r="D56" t="n">
        <v>16960000</v>
      </c>
    </row>
    <row r="57">
      <c r="B57" t="inlineStr">
        <is>
          <t>M18</t>
        </is>
      </c>
      <c r="C57" t="n">
        <v>13500000</v>
      </c>
      <c r="D57" t="n">
        <v>18072000</v>
      </c>
    </row>
    <row r="58">
      <c r="B58" t="inlineStr">
        <is>
          <t>M19</t>
        </is>
      </c>
      <c r="C58" t="n">
        <v>14250000</v>
      </c>
      <c r="D58" t="n">
        <v>19184000</v>
      </c>
    </row>
    <row r="59">
      <c r="B59" t="inlineStr">
        <is>
          <t>M20</t>
        </is>
      </c>
      <c r="C59" t="n">
        <v>15000000</v>
      </c>
      <c r="D59" t="n">
        <v>20296000</v>
      </c>
    </row>
    <row r="60">
      <c r="B60" t="inlineStr">
        <is>
          <t>M21</t>
        </is>
      </c>
      <c r="C60" t="n">
        <v>15750000</v>
      </c>
      <c r="D60" t="n">
        <v>21408000</v>
      </c>
    </row>
    <row r="61">
      <c r="B61" t="inlineStr">
        <is>
          <t>M22</t>
        </is>
      </c>
      <c r="C61" t="n">
        <v>16500000</v>
      </c>
      <c r="D61" t="n">
        <v>22520000</v>
      </c>
    </row>
    <row r="62">
      <c r="B62" t="inlineStr">
        <is>
          <t>M23</t>
        </is>
      </c>
      <c r="C62" t="n">
        <v>17250000</v>
      </c>
      <c r="D62" t="n">
        <v>23632000</v>
      </c>
    </row>
    <row r="63">
      <c r="B63" t="inlineStr">
        <is>
          <t>M24</t>
        </is>
      </c>
      <c r="C63" t="n">
        <v>18000000</v>
      </c>
      <c r="D63" t="n">
        <v>24744000</v>
      </c>
    </row>
  </sheetData>
  <mergeCells count="6">
    <mergeCell ref="B4:F4"/>
    <mergeCell ref="B21:F21"/>
    <mergeCell ref="B29:F29"/>
    <mergeCell ref="B2:F2"/>
    <mergeCell ref="B1:F1"/>
    <mergeCell ref="B14:F1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43F7A"/>
    <outlinePr summaryBelow="1" summaryRight="1"/>
    <pageSetUpPr fitToPage="1"/>
  </sheetPr>
  <dimension ref="B1:O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" customWidth="1" min="15" max="15"/>
  </cols>
  <sheetData>
    <row r="1" ht="26" customHeight="1">
      <c r="B1" s="34" t="inlineStr">
        <is>
          <t>QUARTERLY P&amp;L  |  FY2026 – FY2028  (12 Quarters)</t>
        </is>
      </c>
    </row>
    <row r="2" ht="18" customHeight="1">
      <c r="B2" s="35" t="inlineStr">
        <is>
          <t>All figures in USD  |  Subscription revenue ramp-adjusted  |  Professional services = $250K per new customer</t>
        </is>
      </c>
    </row>
    <row r="3" ht="18" customHeight="1">
      <c r="B3" s="61" t="inlineStr"/>
      <c r="C3" s="17" t="inlineStr">
        <is>
          <t>◀  FY2026 (Year 1)  ▶</t>
        </is>
      </c>
      <c r="G3" s="62" t="inlineStr">
        <is>
          <t>◀  FY2027 (Year 2)  ▶</t>
        </is>
      </c>
      <c r="K3" s="63" t="inlineStr">
        <is>
          <t>◀  FY2028 (Year 3)  ▶</t>
        </is>
      </c>
    </row>
    <row r="4" ht="22" customHeight="1">
      <c r="B4" s="64" t="inlineStr">
        <is>
          <t>METRIC</t>
        </is>
      </c>
      <c r="C4" s="64" t="inlineStr">
        <is>
          <t>Q1'26</t>
        </is>
      </c>
      <c r="D4" s="64" t="inlineStr">
        <is>
          <t>Q2'26</t>
        </is>
      </c>
      <c r="E4" s="64" t="inlineStr">
        <is>
          <t>Q3'26</t>
        </is>
      </c>
      <c r="F4" s="64" t="inlineStr">
        <is>
          <t>Q4'26</t>
        </is>
      </c>
      <c r="G4" s="64" t="inlineStr">
        <is>
          <t>Q1'27</t>
        </is>
      </c>
      <c r="H4" s="64" t="inlineStr">
        <is>
          <t>Q2'27</t>
        </is>
      </c>
      <c r="I4" s="64" t="inlineStr">
        <is>
          <t>Q3'27</t>
        </is>
      </c>
      <c r="J4" s="64" t="inlineStr">
        <is>
          <t>Q4'27</t>
        </is>
      </c>
      <c r="K4" s="64" t="inlineStr">
        <is>
          <t>Q1'28</t>
        </is>
      </c>
      <c r="L4" s="64" t="inlineStr">
        <is>
          <t>Q2'28</t>
        </is>
      </c>
      <c r="M4" s="64" t="inlineStr">
        <is>
          <t>Q3'28</t>
        </is>
      </c>
      <c r="N4" s="64" t="inlineStr">
        <is>
          <t>Q4'28</t>
        </is>
      </c>
    </row>
    <row r="5" ht="18" customHeight="1">
      <c r="B5" s="65" t="inlineStr">
        <is>
          <t>New Customers</t>
        </is>
      </c>
      <c r="C5" s="11" t="n">
        <v>1</v>
      </c>
      <c r="D5" s="11" t="n">
        <v>2</v>
      </c>
      <c r="E5" s="11" t="n">
        <v>2</v>
      </c>
      <c r="F5" s="11" t="n">
        <v>1</v>
      </c>
      <c r="G5" s="11" t="n">
        <v>3</v>
      </c>
      <c r="H5" s="11" t="n">
        <v>3</v>
      </c>
      <c r="I5" s="11" t="n">
        <v>2</v>
      </c>
      <c r="J5" s="11" t="n">
        <v>2</v>
      </c>
      <c r="K5" s="11" t="n">
        <v>4</v>
      </c>
      <c r="L5" s="11" t="n">
        <v>4</v>
      </c>
      <c r="M5" s="11" t="n">
        <v>4</v>
      </c>
      <c r="N5" s="11" t="n">
        <v>4</v>
      </c>
    </row>
    <row r="6" ht="18" customHeight="1">
      <c r="B6" s="66" t="inlineStr">
        <is>
          <t>Cumul. Customers</t>
        </is>
      </c>
      <c r="C6" s="10" t="n">
        <v>1</v>
      </c>
      <c r="D6" s="10" t="n">
        <v>3</v>
      </c>
      <c r="E6" s="10" t="n">
        <v>5</v>
      </c>
      <c r="F6" s="10" t="n">
        <v>6</v>
      </c>
      <c r="G6" s="10" t="n">
        <v>9</v>
      </c>
      <c r="H6" s="10" t="n">
        <v>12</v>
      </c>
      <c r="I6" s="10" t="n">
        <v>14</v>
      </c>
      <c r="J6" s="10" t="n">
        <v>16</v>
      </c>
      <c r="K6" s="10" t="n">
        <v>20</v>
      </c>
      <c r="L6" s="10" t="n">
        <v>24</v>
      </c>
      <c r="M6" s="10" t="n">
        <v>28</v>
      </c>
      <c r="N6" s="10" t="n">
        <v>32</v>
      </c>
    </row>
    <row r="7" ht="5" customHeight="1">
      <c r="B7" s="4" t="n"/>
    </row>
    <row r="8" ht="18" customHeight="1">
      <c r="B8" s="66" t="inlineStr">
        <is>
          <t>Subscription Revenue</t>
        </is>
      </c>
      <c r="C8" s="9" t="n">
        <v>255000</v>
      </c>
      <c r="D8" s="9" t="n">
        <v>637500</v>
      </c>
      <c r="E8" s="9" t="n">
        <v>1020000</v>
      </c>
      <c r="F8" s="9" t="n">
        <v>1147500</v>
      </c>
      <c r="G8" s="9" t="n">
        <v>2081250</v>
      </c>
      <c r="H8" s="9" t="n">
        <v>2406250</v>
      </c>
      <c r="I8" s="9" t="n">
        <v>2587500</v>
      </c>
      <c r="J8" s="9" t="n">
        <v>2755000</v>
      </c>
      <c r="K8" s="9" t="n">
        <v>4462500</v>
      </c>
      <c r="L8" s="9" t="n">
        <v>5050000</v>
      </c>
      <c r="M8" s="9" t="n">
        <v>5512500</v>
      </c>
      <c r="N8" s="9" t="n">
        <v>6175000</v>
      </c>
    </row>
    <row r="9" ht="18" customHeight="1">
      <c r="B9" s="65" t="inlineStr">
        <is>
          <t>Professional Services</t>
        </is>
      </c>
      <c r="C9" s="7" t="n">
        <v>375000</v>
      </c>
      <c r="D9" s="7" t="n">
        <v>375000</v>
      </c>
      <c r="E9" s="7" t="n">
        <v>375000</v>
      </c>
      <c r="F9" s="7" t="n">
        <v>375000</v>
      </c>
      <c r="G9" s="7" t="n">
        <v>625000</v>
      </c>
      <c r="H9" s="7" t="n">
        <v>625000</v>
      </c>
      <c r="I9" s="7" t="n">
        <v>625000</v>
      </c>
      <c r="J9" s="7" t="n">
        <v>625000</v>
      </c>
      <c r="K9" s="7" t="n">
        <v>1000000</v>
      </c>
      <c r="L9" s="7" t="n">
        <v>1000000</v>
      </c>
      <c r="M9" s="7" t="n">
        <v>1000000</v>
      </c>
      <c r="N9" s="7" t="n">
        <v>1000000</v>
      </c>
    </row>
    <row r="10" ht="18" customHeight="1">
      <c r="B10" s="66" t="inlineStr">
        <is>
          <t>Marketplace Revenue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n">
        <v>168000</v>
      </c>
      <c r="I10" s="9" t="n">
        <v>336000</v>
      </c>
      <c r="J10" s="9" t="n">
        <v>504000</v>
      </c>
      <c r="K10" s="9" t="n">
        <v>472500</v>
      </c>
      <c r="L10" s="9" t="n">
        <v>1260000</v>
      </c>
      <c r="M10" s="9" t="n">
        <v>2047500</v>
      </c>
      <c r="N10" s="9" t="n">
        <v>2520000</v>
      </c>
    </row>
    <row r="11" ht="22" customHeight="1">
      <c r="B11" s="67" t="inlineStr">
        <is>
          <t>TOTAL REVENUE</t>
        </is>
      </c>
      <c r="C11" s="68" t="n">
        <v>630000</v>
      </c>
      <c r="D11" s="68" t="n">
        <v>1012500</v>
      </c>
      <c r="E11" s="68" t="n">
        <v>1395000</v>
      </c>
      <c r="F11" s="68" t="n">
        <v>1522500</v>
      </c>
      <c r="G11" s="68" t="n">
        <v>2706250</v>
      </c>
      <c r="H11" s="68" t="n">
        <v>3199250</v>
      </c>
      <c r="I11" s="68" t="n">
        <v>3548500</v>
      </c>
      <c r="J11" s="68" t="n">
        <v>3884000</v>
      </c>
      <c r="K11" s="68" t="n">
        <v>5935000</v>
      </c>
      <c r="L11" s="68" t="n">
        <v>7310000</v>
      </c>
      <c r="M11" s="68" t="n">
        <v>8560000</v>
      </c>
      <c r="N11" s="68" t="n">
        <v>9695000</v>
      </c>
    </row>
    <row r="12" ht="5" customHeight="1">
      <c r="B12" s="4" t="n"/>
    </row>
    <row r="13" ht="18" customHeight="1">
      <c r="B13" s="65" t="inlineStr">
        <is>
          <t>Cost of Revenue</t>
        </is>
      </c>
      <c r="C13" s="7" t="n">
        <v>233100</v>
      </c>
      <c r="D13" s="7" t="n">
        <v>374625</v>
      </c>
      <c r="E13" s="7" t="n">
        <v>516150</v>
      </c>
      <c r="F13" s="7" t="n">
        <v>563325</v>
      </c>
      <c r="G13" s="7" t="n">
        <v>1001312</v>
      </c>
      <c r="H13" s="7" t="n">
        <v>1183722</v>
      </c>
      <c r="I13" s="7" t="n">
        <v>1312945</v>
      </c>
      <c r="J13" s="7" t="n">
        <v>1437080</v>
      </c>
      <c r="K13" s="7" t="n">
        <v>2195950</v>
      </c>
      <c r="L13" s="7" t="n">
        <v>2704700</v>
      </c>
      <c r="M13" s="7" t="n">
        <v>3167200</v>
      </c>
      <c r="N13" s="7" t="n">
        <v>3587150</v>
      </c>
    </row>
    <row r="14" ht="22" customHeight="1">
      <c r="B14" s="67" t="inlineStr">
        <is>
          <t>GROSS PROFIT</t>
        </is>
      </c>
      <c r="C14" s="68" t="n">
        <v>396900</v>
      </c>
      <c r="D14" s="68" t="n">
        <v>637875</v>
      </c>
      <c r="E14" s="68" t="n">
        <v>878850</v>
      </c>
      <c r="F14" s="68" t="n">
        <v>959175</v>
      </c>
      <c r="G14" s="68" t="n">
        <v>1704938</v>
      </c>
      <c r="H14" s="68" t="n">
        <v>2015528</v>
      </c>
      <c r="I14" s="68" t="n">
        <v>2235555</v>
      </c>
      <c r="J14" s="68" t="n">
        <v>2446920</v>
      </c>
      <c r="K14" s="68" t="n">
        <v>3739050</v>
      </c>
      <c r="L14" s="68" t="n">
        <v>4605300</v>
      </c>
      <c r="M14" s="68" t="n">
        <v>5392800</v>
      </c>
      <c r="N14" s="68" t="n">
        <v>6107850</v>
      </c>
    </row>
    <row r="15" ht="18" customHeight="1">
      <c r="B15" s="65" t="inlineStr">
        <is>
          <t>Gross Margin %</t>
        </is>
      </c>
      <c r="C15" s="11" t="inlineStr">
        <is>
          <t>63%</t>
        </is>
      </c>
      <c r="D15" s="11" t="inlineStr">
        <is>
          <t>63%</t>
        </is>
      </c>
      <c r="E15" s="11" t="inlineStr">
        <is>
          <t>63%</t>
        </is>
      </c>
      <c r="F15" s="11" t="inlineStr">
        <is>
          <t>63%</t>
        </is>
      </c>
      <c r="G15" s="11" t="inlineStr">
        <is>
          <t>63%</t>
        </is>
      </c>
      <c r="H15" s="11" t="inlineStr">
        <is>
          <t>63%</t>
        </is>
      </c>
      <c r="I15" s="11" t="inlineStr">
        <is>
          <t>63%</t>
        </is>
      </c>
      <c r="J15" s="11" t="inlineStr">
        <is>
          <t>63%</t>
        </is>
      </c>
      <c r="K15" s="11" t="inlineStr">
        <is>
          <t>63%</t>
        </is>
      </c>
      <c r="L15" s="11" t="inlineStr">
        <is>
          <t>63%</t>
        </is>
      </c>
      <c r="M15" s="11" t="inlineStr">
        <is>
          <t>63%</t>
        </is>
      </c>
      <c r="N15" s="11" t="inlineStr">
        <is>
          <t>63%</t>
        </is>
      </c>
    </row>
    <row r="16" ht="5" customHeight="1">
      <c r="B16" s="4" t="n"/>
    </row>
    <row r="17" ht="18" customHeight="1">
      <c r="B17" s="6" t="inlineStr">
        <is>
          <t>R&amp;D / Engineering</t>
        </is>
      </c>
      <c r="C17" s="7" t="n">
        <v>1050000</v>
      </c>
      <c r="D17" s="7" t="n">
        <v>1050000</v>
      </c>
      <c r="E17" s="7" t="n">
        <v>1050000</v>
      </c>
      <c r="F17" s="7" t="n">
        <v>1050000</v>
      </c>
      <c r="G17" s="7" t="n">
        <v>1125000</v>
      </c>
      <c r="H17" s="7" t="n">
        <v>1125000</v>
      </c>
      <c r="I17" s="7" t="n">
        <v>1125000</v>
      </c>
      <c r="J17" s="7" t="n">
        <v>1125000</v>
      </c>
      <c r="K17" s="7" t="n">
        <v>1375000</v>
      </c>
      <c r="L17" s="7" t="n">
        <v>1375000</v>
      </c>
      <c r="M17" s="7" t="n">
        <v>1375000</v>
      </c>
      <c r="N17" s="7" t="n">
        <v>1375000</v>
      </c>
    </row>
    <row r="18" ht="18" customHeight="1">
      <c r="B18" s="8" t="inlineStr">
        <is>
          <t>Sales &amp; Marketing</t>
        </is>
      </c>
      <c r="C18" s="9" t="n">
        <v>625000</v>
      </c>
      <c r="D18" s="9" t="n">
        <v>625000</v>
      </c>
      <c r="E18" s="9" t="n">
        <v>625000</v>
      </c>
      <c r="F18" s="9" t="n">
        <v>625000</v>
      </c>
      <c r="G18" s="9" t="n">
        <v>875000</v>
      </c>
      <c r="H18" s="9" t="n">
        <v>875000</v>
      </c>
      <c r="I18" s="9" t="n">
        <v>875000</v>
      </c>
      <c r="J18" s="9" t="n">
        <v>875000</v>
      </c>
      <c r="K18" s="9" t="n">
        <v>1250000</v>
      </c>
      <c r="L18" s="9" t="n">
        <v>1250000</v>
      </c>
      <c r="M18" s="9" t="n">
        <v>1250000</v>
      </c>
      <c r="N18" s="9" t="n">
        <v>1250000</v>
      </c>
    </row>
    <row r="19" ht="18" customHeight="1">
      <c r="B19" s="6" t="inlineStr">
        <is>
          <t>General &amp; Admin</t>
        </is>
      </c>
      <c r="C19" s="7" t="n">
        <v>375000</v>
      </c>
      <c r="D19" s="7" t="n">
        <v>375000</v>
      </c>
      <c r="E19" s="7" t="n">
        <v>375000</v>
      </c>
      <c r="F19" s="7" t="n">
        <v>375000</v>
      </c>
      <c r="G19" s="7" t="n">
        <v>450000</v>
      </c>
      <c r="H19" s="7" t="n">
        <v>450000</v>
      </c>
      <c r="I19" s="7" t="n">
        <v>450000</v>
      </c>
      <c r="J19" s="7" t="n">
        <v>450000</v>
      </c>
      <c r="K19" s="7" t="n">
        <v>625000</v>
      </c>
      <c r="L19" s="7" t="n">
        <v>625000</v>
      </c>
      <c r="M19" s="7" t="n">
        <v>625000</v>
      </c>
      <c r="N19" s="7" t="n">
        <v>625000</v>
      </c>
    </row>
    <row r="20" ht="22" customHeight="1">
      <c r="B20" s="67" t="inlineStr">
        <is>
          <t>TOTAL OPEX</t>
        </is>
      </c>
      <c r="C20" s="68" t="n">
        <v>2050000</v>
      </c>
      <c r="D20" s="68" t="n">
        <v>2050000</v>
      </c>
      <c r="E20" s="68" t="n">
        <v>2050000</v>
      </c>
      <c r="F20" s="68" t="n">
        <v>2050000</v>
      </c>
      <c r="G20" s="68" t="n">
        <v>2450000</v>
      </c>
      <c r="H20" s="68" t="n">
        <v>2450000</v>
      </c>
      <c r="I20" s="68" t="n">
        <v>2450000</v>
      </c>
      <c r="J20" s="68" t="n">
        <v>2450000</v>
      </c>
      <c r="K20" s="68" t="n">
        <v>3250000</v>
      </c>
      <c r="L20" s="68" t="n">
        <v>3250000</v>
      </c>
      <c r="M20" s="68" t="n">
        <v>3250000</v>
      </c>
      <c r="N20" s="68" t="n">
        <v>3250000</v>
      </c>
    </row>
    <row r="21" ht="5" customHeight="1">
      <c r="B21" s="4" t="n"/>
    </row>
    <row r="22" ht="22" customHeight="1">
      <c r="B22" s="67" t="inlineStr">
        <is>
          <t>EBITDA</t>
        </is>
      </c>
      <c r="C22" s="69" t="n">
        <v>-1653100</v>
      </c>
      <c r="D22" s="69" t="n">
        <v>-1412125</v>
      </c>
      <c r="E22" s="69" t="n">
        <v>-1171150</v>
      </c>
      <c r="F22" s="69" t="n">
        <v>-1090825</v>
      </c>
      <c r="G22" s="69" t="n">
        <v>-745062</v>
      </c>
      <c r="H22" s="69" t="n">
        <v>-434472</v>
      </c>
      <c r="I22" s="69" t="n">
        <v>-214445</v>
      </c>
      <c r="J22" s="69" t="n">
        <v>-3080</v>
      </c>
      <c r="K22" s="16" t="n">
        <v>489050</v>
      </c>
      <c r="L22" s="16" t="n">
        <v>1355300</v>
      </c>
      <c r="M22" s="16" t="n">
        <v>2142800</v>
      </c>
      <c r="N22" s="16" t="n">
        <v>2857850</v>
      </c>
    </row>
  </sheetData>
  <mergeCells count="10">
    <mergeCell ref="B1:O1"/>
    <mergeCell ref="C3:F3"/>
    <mergeCell ref="G3:J3"/>
    <mergeCell ref="K3:N3"/>
    <mergeCell ref="B2:O2"/>
    <mergeCell ref="B12:N12"/>
    <mergeCell ref="B21:N21"/>
    <mergeCell ref="B7:N7"/>
    <mergeCell ref="B3"/>
    <mergeCell ref="B16:N1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86C1"/>
    <outlinePr summaryBelow="1" summaryRight="1"/>
    <pageSetUpPr fitToPage="1"/>
  </sheetPr>
  <dimension ref="B1:E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26" customHeight="1">
      <c r="B1" s="34" t="inlineStr">
        <is>
          <t>ARR BRIDGE  —  $5.1M  ▶  $14.8M  ▶  $32.4M</t>
        </is>
      </c>
    </row>
    <row r="2" ht="18" customHeight="1">
      <c r="B2" s="35" t="inlineStr">
        <is>
          <t>Annual Recurring Revenue waterfall  |  FY2026 → FY2027 → FY2028</t>
        </is>
      </c>
    </row>
    <row r="3" ht="22" customHeight="1">
      <c r="B3" s="3" t="inlineStr">
        <is>
          <t>ARR BRIDGE COMPONENT</t>
        </is>
      </c>
      <c r="C3" s="3" t="inlineStr">
        <is>
          <t>FY2026</t>
        </is>
      </c>
      <c r="D3" s="3" t="inlineStr">
        <is>
          <t>FY2027</t>
        </is>
      </c>
      <c r="E3" s="3" t="inlineStr">
        <is>
          <t>FY2028</t>
        </is>
      </c>
    </row>
    <row r="4" ht="22" customHeight="1">
      <c r="B4" s="70" t="inlineStr">
        <is>
          <t>Opening ARR (Start of Year)</t>
        </is>
      </c>
      <c r="C4" s="71" t="n">
        <v>0</v>
      </c>
      <c r="D4" s="72" t="n">
        <v>5100000</v>
      </c>
      <c r="E4" s="72" t="n">
        <v>14800000</v>
      </c>
    </row>
    <row r="5" ht="22" customHeight="1">
      <c r="B5" s="73" t="inlineStr">
        <is>
          <t xml:space="preserve">  + New Logo ARR  (6 → 10 → 16 logos × $830K)</t>
        </is>
      </c>
      <c r="C5" s="74" t="n">
        <v>4980000</v>
      </c>
      <c r="D5" s="74" t="n">
        <v>8300000</v>
      </c>
      <c r="E5" s="74" t="n">
        <v>13280000</v>
      </c>
    </row>
    <row r="6" ht="22" customHeight="1">
      <c r="B6" s="75" t="inlineStr">
        <is>
          <t xml:space="preserve">  + Expansion / Upsell ARR (NRR &gt;130%)</t>
        </is>
      </c>
      <c r="C6" s="76" t="n">
        <v>120000</v>
      </c>
      <c r="D6" s="76" t="n">
        <v>1600000</v>
      </c>
      <c r="E6" s="76" t="n">
        <v>5200000</v>
      </c>
    </row>
    <row r="7" ht="22" customHeight="1">
      <c r="B7" s="77" t="inlineStr">
        <is>
          <t xml:space="preserve">  − Churned ARR  (&lt;5% churn rate)</t>
        </is>
      </c>
      <c r="C7" s="78" t="n">
        <v>0</v>
      </c>
      <c r="D7" s="79" t="n">
        <v>-200000</v>
      </c>
      <c r="E7" s="79" t="n">
        <v>-880000</v>
      </c>
    </row>
    <row r="8" ht="22" customHeight="1">
      <c r="B8" s="70" t="inlineStr">
        <is>
          <t>Closing ARR (End of Year)</t>
        </is>
      </c>
      <c r="C8" s="72" t="n">
        <v>5100000</v>
      </c>
      <c r="D8" s="72" t="n">
        <v>14800000</v>
      </c>
      <c r="E8" s="72" t="n">
        <v>32400000</v>
      </c>
    </row>
    <row r="9" ht="6" customHeight="1">
      <c r="B9" s="4" t="n"/>
    </row>
    <row r="10" ht="22" customHeight="1">
      <c r="B10" s="80" t="inlineStr">
        <is>
          <t>YoY ARR Growth</t>
        </is>
      </c>
      <c r="C10" s="81" t="inlineStr">
        <is>
          <t>—</t>
        </is>
      </c>
      <c r="D10" s="81" t="inlineStr">
        <is>
          <t>190%</t>
        </is>
      </c>
      <c r="E10" s="81" t="inlineStr">
        <is>
          <t>119%</t>
        </is>
      </c>
    </row>
    <row r="11" ht="22" customHeight="1">
      <c r="B11" s="82" t="inlineStr">
        <is>
          <t>New ARR Added in Year</t>
        </is>
      </c>
      <c r="C11" s="83" t="n">
        <v>5100000</v>
      </c>
      <c r="D11" s="83" t="n">
        <v>9700000</v>
      </c>
      <c r="E11" s="83" t="n">
        <v>17600000</v>
      </c>
    </row>
    <row r="12" ht="22" customHeight="1">
      <c r="B12" s="84" t="inlineStr">
        <is>
          <t>Net Revenue Retention</t>
        </is>
      </c>
      <c r="C12" s="81" t="inlineStr">
        <is>
          <t>~110%</t>
        </is>
      </c>
      <c r="D12" s="81" t="inlineStr">
        <is>
          <t>~130%</t>
        </is>
      </c>
      <c r="E12" s="81" t="inlineStr">
        <is>
          <t>~135%</t>
        </is>
      </c>
    </row>
    <row r="13" ht="22" customHeight="1">
      <c r="B13" s="85" t="inlineStr">
        <is>
          <t>Avg ARR per Customer (End of Year)</t>
        </is>
      </c>
      <c r="C13" s="83" t="n">
        <v>850000</v>
      </c>
      <c r="D13" s="83" t="n">
        <v>925000</v>
      </c>
      <c r="E13" s="83" t="n">
        <v>1012500</v>
      </c>
    </row>
    <row r="16">
      <c r="B16" t="inlineStr">
        <is>
          <t>Year</t>
        </is>
      </c>
      <c r="C16" t="inlineStr">
        <is>
          <t>ARR ($)</t>
        </is>
      </c>
    </row>
    <row r="17">
      <c r="B17" t="inlineStr">
        <is>
          <t>Y1 End</t>
        </is>
      </c>
      <c r="C17" t="n">
        <v>5100000</v>
      </c>
    </row>
    <row r="18">
      <c r="B18" t="inlineStr">
        <is>
          <t>Y2 End</t>
        </is>
      </c>
      <c r="C18" t="n">
        <v>14800000</v>
      </c>
    </row>
    <row r="19">
      <c r="B19" t="inlineStr">
        <is>
          <t>Y3 End</t>
        </is>
      </c>
      <c r="C19" t="n">
        <v>32400000</v>
      </c>
    </row>
  </sheetData>
  <mergeCells count="3">
    <mergeCell ref="B9:E9"/>
    <mergeCell ref="B1:E1"/>
    <mergeCell ref="B2:E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B3A6B"/>
    <outlinePr summaryBelow="1" summaryRight="1"/>
    <pageSetUpPr fitToPage="1"/>
  </sheetPr>
  <dimension ref="B1:E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 ht="26" customHeight="1">
      <c r="B1" s="34" t="inlineStr">
        <is>
          <t>UNIT ECONOMICS  |  CAC  ·  LTV  ·  Payback  ·  ACV</t>
        </is>
      </c>
    </row>
    <row r="2" ht="18" customHeight="1">
      <c r="B2" s="35" t="inlineStr">
        <is>
          <t>Per-customer economics driving the SaaS model</t>
        </is>
      </c>
    </row>
    <row r="3" ht="22" customHeight="1">
      <c r="B3" s="3" t="inlineStr">
        <is>
          <t>METRIC</t>
        </is>
      </c>
      <c r="C3" s="3" t="inlineStr">
        <is>
          <t>FY2026</t>
        </is>
      </c>
      <c r="D3" s="3" t="inlineStr">
        <is>
          <t>FY2027</t>
        </is>
      </c>
      <c r="E3" s="3" t="inlineStr">
        <is>
          <t>FY2028</t>
        </is>
      </c>
    </row>
    <row r="4" ht="6" customHeight="1">
      <c r="B4" s="4" t="n"/>
    </row>
    <row r="5" ht="22" customHeight="1">
      <c r="B5" s="36" t="inlineStr">
        <is>
          <t xml:space="preserve">  DEAL ECONOMICS</t>
        </is>
      </c>
    </row>
    <row r="6" ht="20" customHeight="1">
      <c r="B6" s="8" t="inlineStr">
        <is>
          <t>Core Platform ARR / Site</t>
        </is>
      </c>
      <c r="C6" s="9" t="n">
        <v>650000</v>
      </c>
      <c r="D6" s="9" t="n">
        <v>650000</v>
      </c>
      <c r="E6" s="9" t="n">
        <v>650000</v>
      </c>
    </row>
    <row r="7" ht="20" customHeight="1">
      <c r="B7" s="6" t="inlineStr">
        <is>
          <t>LLM Feature Bundle ARR / Site</t>
        </is>
      </c>
      <c r="C7" s="7" t="n">
        <v>180000</v>
      </c>
      <c r="D7" s="7" t="n">
        <v>180000</v>
      </c>
      <c r="E7" s="7" t="n">
        <v>180000</v>
      </c>
    </row>
    <row r="8" ht="20" customHeight="1">
      <c r="B8" s="8" t="inlineStr">
        <is>
          <t>Total ARR per Enterprise Site</t>
        </is>
      </c>
      <c r="C8" s="9" t="n">
        <v>830000</v>
      </c>
      <c r="D8" s="9" t="n">
        <v>830000</v>
      </c>
      <c r="E8" s="9" t="n">
        <v>830000</v>
      </c>
    </row>
    <row r="9" ht="20" customHeight="1">
      <c r="B9" s="6" t="inlineStr">
        <is>
          <t>Quantum Readiness Sprint (PS, one-time)</t>
        </is>
      </c>
      <c r="C9" s="7" t="n">
        <v>250000</v>
      </c>
      <c r="D9" s="7" t="n">
        <v>250000</v>
      </c>
      <c r="E9" s="7" t="n">
        <v>250000</v>
      </c>
    </row>
    <row r="10" ht="20" customHeight="1">
      <c r="B10" s="8" t="inlineStr">
        <is>
          <t>Year 1 Total Contract Value</t>
        </is>
      </c>
      <c r="C10" s="9" t="n">
        <v>1080000</v>
      </c>
      <c r="D10" s="9" t="n">
        <v>1080000</v>
      </c>
      <c r="E10" s="9" t="n">
        <v>1080000</v>
      </c>
    </row>
    <row r="11" ht="20" customHeight="1">
      <c r="B11" s="6" t="inlineStr">
        <is>
          <t>Gross Margin — Subscription</t>
        </is>
      </c>
      <c r="C11" s="11" t="inlineStr">
        <is>
          <t>72%</t>
        </is>
      </c>
      <c r="D11" s="11" t="inlineStr">
        <is>
          <t>72%</t>
        </is>
      </c>
      <c r="E11" s="11" t="inlineStr">
        <is>
          <t>72%</t>
        </is>
      </c>
    </row>
    <row r="12" ht="20" customHeight="1">
      <c r="B12" s="8" t="inlineStr">
        <is>
          <t>Annual Gross Profit per Customer</t>
        </is>
      </c>
      <c r="C12" s="9" t="n">
        <v>597600</v>
      </c>
      <c r="D12" s="9" t="n">
        <v>597600</v>
      </c>
      <c r="E12" s="9" t="n">
        <v>597600</v>
      </c>
    </row>
    <row r="13" ht="6" customHeight="1">
      <c r="B13" s="4" t="n"/>
    </row>
    <row r="14" ht="22" customHeight="1">
      <c r="B14" s="36" t="inlineStr">
        <is>
          <t xml:space="preserve">  CUSTOMER ACQUISITION COST</t>
        </is>
      </c>
    </row>
    <row r="15" ht="20" customHeight="1">
      <c r="B15" s="8" t="inlineStr">
        <is>
          <t>Sales &amp; Marketing Spend</t>
        </is>
      </c>
      <c r="C15" s="9" t="n">
        <v>2500000</v>
      </c>
      <c r="D15" s="9" t="n">
        <v>3500000</v>
      </c>
      <c r="E15" s="9" t="n">
        <v>5000000</v>
      </c>
    </row>
    <row r="16" ht="20" customHeight="1">
      <c r="B16" s="6" t="inlineStr">
        <is>
          <t>New Customers Won</t>
        </is>
      </c>
      <c r="C16" s="11" t="n">
        <v>6</v>
      </c>
      <c r="D16" s="11" t="n">
        <v>10</v>
      </c>
      <c r="E16" s="11" t="n">
        <v>16</v>
      </c>
    </row>
    <row r="17" ht="20" customHeight="1">
      <c r="B17" s="8" t="inlineStr">
        <is>
          <t>Blended CAC</t>
        </is>
      </c>
      <c r="C17" s="9" t="n">
        <v>416667</v>
      </c>
      <c r="D17" s="9" t="n">
        <v>350000</v>
      </c>
      <c r="E17" s="9" t="n">
        <v>312500</v>
      </c>
    </row>
    <row r="18" ht="20" customHeight="1">
      <c r="B18" s="6" t="inlineStr">
        <is>
          <t>Industry Benchmark CAC</t>
        </is>
      </c>
      <c r="C18" s="11" t="inlineStr">
        <is>
          <t>12–18mo payback</t>
        </is>
      </c>
      <c r="D18" s="11" t="inlineStr">
        <is>
          <t>12–18mo</t>
        </is>
      </c>
      <c r="E18" s="11" t="inlineStr">
        <is>
          <t>12–18mo</t>
        </is>
      </c>
    </row>
    <row r="19" ht="6" customHeight="1">
      <c r="B19" s="4" t="n"/>
    </row>
    <row r="20" ht="22" customHeight="1">
      <c r="B20" s="36" t="inlineStr">
        <is>
          <t xml:space="preserve">  LIFETIME VALUE  (LTV)</t>
        </is>
      </c>
    </row>
    <row r="21" ht="20" customHeight="1">
      <c r="B21" s="8" t="inlineStr">
        <is>
          <t>Customer Lifetime (compliance lock-in)</t>
        </is>
      </c>
      <c r="C21" s="10" t="inlineStr">
        <is>
          <t>6+ yrs</t>
        </is>
      </c>
      <c r="D21" s="10" t="inlineStr">
        <is>
          <t>6+ yrs</t>
        </is>
      </c>
      <c r="E21" s="10" t="inlineStr">
        <is>
          <t>6+ yrs</t>
        </is>
      </c>
    </row>
    <row r="22" ht="20" customHeight="1">
      <c r="B22" s="6" t="inlineStr">
        <is>
          <t>Annual Gross Profit per Customer</t>
        </is>
      </c>
      <c r="C22" s="7" t="n">
        <v>597600</v>
      </c>
      <c r="D22" s="7" t="n">
        <v>597600</v>
      </c>
      <c r="E22" s="7" t="n">
        <v>597600</v>
      </c>
    </row>
    <row r="23" ht="20" customHeight="1">
      <c r="B23" s="8" t="inlineStr">
        <is>
          <t>LTV — 3-Year Base</t>
        </is>
      </c>
      <c r="C23" s="86" t="n">
        <v>1792800</v>
      </c>
      <c r="D23" s="86" t="n">
        <v>1792800</v>
      </c>
      <c r="E23" s="86" t="n">
        <v>1792800</v>
      </c>
    </row>
    <row r="24" ht="20" customHeight="1">
      <c r="B24" s="6" t="inlineStr">
        <is>
          <t>LTV — 6-Year Full Lifecycle</t>
        </is>
      </c>
      <c r="C24" s="87" t="n">
        <v>3585600</v>
      </c>
      <c r="D24" s="87" t="n">
        <v>3585600</v>
      </c>
      <c r="E24" s="87" t="n">
        <v>3585600</v>
      </c>
    </row>
    <row r="25" ht="6" customHeight="1">
      <c r="B25" s="4" t="n"/>
    </row>
    <row r="26" ht="22" customHeight="1">
      <c r="B26" s="36" t="inlineStr">
        <is>
          <t xml:space="preserve">  PAYBACK &amp; EFFICIENCY</t>
        </is>
      </c>
    </row>
    <row r="27" ht="20" customHeight="1">
      <c r="B27" s="8" t="inlineStr">
        <is>
          <t>CAC Payback Period</t>
        </is>
      </c>
      <c r="C27" s="10" t="inlineStr">
        <is>
          <t>8.4 mo</t>
        </is>
      </c>
      <c r="D27" s="10" t="inlineStr">
        <is>
          <t>7.0 mo</t>
        </is>
      </c>
      <c r="E27" s="10" t="inlineStr">
        <is>
          <t>6.3 mo</t>
        </is>
      </c>
    </row>
    <row r="28" ht="20" customHeight="1">
      <c r="B28" s="6" t="inlineStr">
        <is>
          <t>LTV : CAC Ratio (3-Year LTV)</t>
        </is>
      </c>
      <c r="C28" s="88" t="inlineStr">
        <is>
          <t>4.3×</t>
        </is>
      </c>
      <c r="D28" s="88" t="inlineStr">
        <is>
          <t>5.1×</t>
        </is>
      </c>
      <c r="E28" s="88" t="inlineStr">
        <is>
          <t>5.7×</t>
        </is>
      </c>
    </row>
    <row r="29" ht="20" customHeight="1">
      <c r="B29" s="8" t="inlineStr">
        <is>
          <t>Net Revenue Retention</t>
        </is>
      </c>
      <c r="C29" s="10" t="inlineStr">
        <is>
          <t>~110%</t>
        </is>
      </c>
      <c r="D29" s="10" t="inlineStr">
        <is>
          <t>~130%</t>
        </is>
      </c>
      <c r="E29" s="10" t="inlineStr">
        <is>
          <t>~135%</t>
        </is>
      </c>
    </row>
    <row r="30" ht="20" customHeight="1">
      <c r="B30" s="6" t="inlineStr">
        <is>
          <t>Churn Rate</t>
        </is>
      </c>
      <c r="C30" s="11" t="inlineStr">
        <is>
          <t>&lt;5%</t>
        </is>
      </c>
      <c r="D30" s="11" t="inlineStr">
        <is>
          <t>&lt;5%</t>
        </is>
      </c>
      <c r="E30" s="11" t="inlineStr">
        <is>
          <t>&lt;5%</t>
        </is>
      </c>
    </row>
    <row r="31" ht="20" customHeight="1">
      <c r="B31" s="8" t="inlineStr">
        <is>
          <t>Annual Cost per Autonomous Security Event</t>
        </is>
      </c>
      <c r="C31" s="10" t="inlineStr">
        <is>
          <t>$0.01</t>
        </is>
      </c>
      <c r="D31" s="10" t="inlineStr">
        <is>
          <t>$0.01</t>
        </is>
      </c>
      <c r="E31" s="10" t="inlineStr">
        <is>
          <t>$0.01</t>
        </is>
      </c>
    </row>
    <row r="32" ht="20" customHeight="1">
      <c r="B32" s="6" t="inlineStr">
        <is>
          <t>Equivalent Manual SOC Cost per Event</t>
        </is>
      </c>
      <c r="C32" s="11" t="inlineStr">
        <is>
          <t>$10–$50</t>
        </is>
      </c>
      <c r="D32" s="11" t="inlineStr">
        <is>
          <t>$10–$50</t>
        </is>
      </c>
      <c r="E32" s="11" t="inlineStr">
        <is>
          <t>$10–$50</t>
        </is>
      </c>
    </row>
    <row r="33" ht="20" customHeight="1">
      <c r="B33" s="8" t="inlineStr">
        <is>
          <t>Autonomous Handling Rate</t>
        </is>
      </c>
      <c r="C33" s="10" t="inlineStr">
        <is>
          <t>78%</t>
        </is>
      </c>
      <c r="D33" s="10" t="inlineStr">
        <is>
          <t>78%+</t>
        </is>
      </c>
      <c r="E33" s="10" t="inlineStr">
        <is>
          <t>78%+</t>
        </is>
      </c>
    </row>
    <row r="34" ht="20" customHeight="1">
      <c r="B34" s="6" t="inlineStr">
        <is>
          <t>Response Time (autonomous)</t>
        </is>
      </c>
      <c r="C34" s="11" t="inlineStr">
        <is>
          <t>&lt;10 sec</t>
        </is>
      </c>
      <c r="D34" s="11" t="inlineStr">
        <is>
          <t>&lt;10 sec</t>
        </is>
      </c>
      <c r="E34" s="11" t="inlineStr">
        <is>
          <t>&lt;10 sec</t>
        </is>
      </c>
    </row>
    <row r="35" ht="6" customHeight="1">
      <c r="B35" s="4" t="n"/>
    </row>
    <row r="36" ht="22" customHeight="1">
      <c r="B36" s="36" t="inlineStr">
        <is>
          <t xml:space="preserve">  MARKETPLACE UNIT ECONOMICS</t>
        </is>
      </c>
    </row>
    <row r="37" ht="20" customHeight="1">
      <c r="B37" s="8" t="inlineStr">
        <is>
          <t>Marketplace GMV</t>
        </is>
      </c>
      <c r="C37" s="10" t="n">
        <v>0</v>
      </c>
      <c r="D37" s="9" t="n">
        <v>12000000</v>
      </c>
      <c r="E37" s="9" t="n">
        <v>70000000</v>
      </c>
    </row>
    <row r="38" ht="20" customHeight="1">
      <c r="B38" s="6" t="inlineStr">
        <is>
          <t>Platform Take Rate</t>
        </is>
      </c>
      <c r="C38" s="11" t="inlineStr">
        <is>
          <t>30%</t>
        </is>
      </c>
      <c r="D38" s="11" t="inlineStr">
        <is>
          <t>30%</t>
        </is>
      </c>
      <c r="E38" s="11" t="inlineStr">
        <is>
          <t>30%</t>
        </is>
      </c>
    </row>
    <row r="39" ht="20" customHeight="1">
      <c r="B39" s="8" t="inlineStr">
        <is>
          <t>Gross Marketplace Revenue</t>
        </is>
      </c>
      <c r="C39" s="10" t="n">
        <v>0</v>
      </c>
      <c r="D39" s="9" t="n">
        <v>3600000</v>
      </c>
      <c r="E39" s="9" t="n">
        <v>21000000</v>
      </c>
    </row>
    <row r="40" ht="20" customHeight="1">
      <c r="B40" s="6" t="inlineStr">
        <is>
          <t>Marketplace Gross Margin</t>
        </is>
      </c>
      <c r="C40" s="11" t="inlineStr">
        <is>
          <t>90%</t>
        </is>
      </c>
      <c r="D40" s="11" t="inlineStr">
        <is>
          <t>90%</t>
        </is>
      </c>
      <c r="E40" s="11" t="inlineStr">
        <is>
          <t>90%</t>
        </is>
      </c>
    </row>
    <row r="41" ht="20" customHeight="1">
      <c r="B41" s="8" t="inlineStr">
        <is>
          <t>Creator Revenue Share (70%)</t>
        </is>
      </c>
      <c r="C41" s="10" t="n">
        <v>0</v>
      </c>
      <c r="D41" s="9" t="n">
        <v>2520000</v>
      </c>
      <c r="E41" s="9" t="n">
        <v>14700000</v>
      </c>
    </row>
    <row r="42" ht="20" customHeight="1">
      <c r="B42" s="6" t="inlineStr">
        <is>
          <t>Target Adapters Live</t>
        </is>
      </c>
      <c r="C42" s="11" t="inlineStr">
        <is>
          <t>500+</t>
        </is>
      </c>
      <c r="D42" s="11" t="inlineStr">
        <is>
          <t>1,000+</t>
        </is>
      </c>
      <c r="E42" s="11" t="inlineStr">
        <is>
          <t>3,000+</t>
        </is>
      </c>
    </row>
  </sheetData>
  <mergeCells count="12">
    <mergeCell ref="B20:E20"/>
    <mergeCell ref="B26:E26"/>
    <mergeCell ref="B1:E1"/>
    <mergeCell ref="B35:E35"/>
    <mergeCell ref="B4:E4"/>
    <mergeCell ref="B13:E13"/>
    <mergeCell ref="B25:E25"/>
    <mergeCell ref="B5:E5"/>
    <mergeCell ref="B2:E2"/>
    <mergeCell ref="B19:E19"/>
    <mergeCell ref="B36:E36"/>
    <mergeCell ref="B14:E1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B1:F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26" customHeight="1">
      <c r="B1" s="34" t="inlineStr">
        <is>
          <t>CASH FLOW MODEL  —  MONTHLY (Y1)  +  QUARTERLY (Y2–Y3)</t>
        </is>
      </c>
    </row>
    <row r="2" ht="18" customHeight="1">
      <c r="B2" s="35" t="inlineStr">
        <is>
          <t>Opening cash: $18M (Series A close)  |  All figures in USD</t>
        </is>
      </c>
    </row>
    <row r="3" ht="22" customHeight="1">
      <c r="B3" s="36" t="inlineStr">
        <is>
          <t xml:space="preserve">  YEAR 1 — MONTHLY (FY2026)  |  Starting Cash: $18,000,000</t>
        </is>
      </c>
    </row>
    <row r="4" ht="22" customHeight="1">
      <c r="B4" s="3" t="inlineStr">
        <is>
          <t>PERIOD</t>
        </is>
      </c>
      <c r="C4" s="3" t="inlineStr">
        <is>
          <t>REVENUE IN ($)</t>
        </is>
      </c>
      <c r="D4" s="3" t="inlineStr">
        <is>
          <t>EXPENSES OUT ($)</t>
        </is>
      </c>
      <c r="E4" s="3" t="inlineStr">
        <is>
          <t>NET CASH ($)</t>
        </is>
      </c>
      <c r="F4" s="3" t="inlineStr">
        <is>
          <t>CUMUL. CASH ($)</t>
        </is>
      </c>
    </row>
    <row r="5" ht="19" customHeight="1">
      <c r="B5" s="8" t="inlineStr">
        <is>
          <t>Apr 2026  (M1)</t>
        </is>
      </c>
      <c r="C5" s="86" t="n">
        <v>380000</v>
      </c>
      <c r="D5" s="89" t="n">
        <v>900000</v>
      </c>
      <c r="E5" s="69" t="n">
        <v>-520000</v>
      </c>
      <c r="F5" s="90" t="n">
        <v>17480000</v>
      </c>
    </row>
    <row r="6" ht="19" customHeight="1">
      <c r="B6" s="6" t="inlineStr">
        <is>
          <t>May 2026  (M2)</t>
        </is>
      </c>
      <c r="C6" s="87" t="n">
        <v>380000</v>
      </c>
      <c r="D6" s="15" t="n">
        <v>875000</v>
      </c>
      <c r="E6" s="69" t="n">
        <v>-495000</v>
      </c>
      <c r="F6" s="90" t="n">
        <v>16985000</v>
      </c>
    </row>
    <row r="7" ht="19" customHeight="1">
      <c r="B7" s="8" t="inlineStr">
        <is>
          <t>Jun 2026  (M3)</t>
        </is>
      </c>
      <c r="C7" s="86" t="n">
        <v>380000</v>
      </c>
      <c r="D7" s="89" t="n">
        <v>875000</v>
      </c>
      <c r="E7" s="69" t="n">
        <v>-495000</v>
      </c>
      <c r="F7" s="90" t="n">
        <v>16490000</v>
      </c>
    </row>
    <row r="8" ht="19" customHeight="1">
      <c r="B8" s="6" t="inlineStr">
        <is>
          <t>Jul 2026  (M4)</t>
        </is>
      </c>
      <c r="C8" s="87" t="n">
        <v>637500</v>
      </c>
      <c r="D8" s="15" t="n">
        <v>875000</v>
      </c>
      <c r="E8" s="69" t="n">
        <v>-237500</v>
      </c>
      <c r="F8" s="90" t="n">
        <v>16252500</v>
      </c>
    </row>
    <row r="9" ht="19" customHeight="1">
      <c r="B9" s="8" t="inlineStr">
        <is>
          <t>Aug 2026  (M5)</t>
        </is>
      </c>
      <c r="C9" s="86" t="n">
        <v>637500</v>
      </c>
      <c r="D9" s="89" t="n">
        <v>850000</v>
      </c>
      <c r="E9" s="69" t="n">
        <v>-212500</v>
      </c>
      <c r="F9" s="90" t="n">
        <v>16040000</v>
      </c>
    </row>
    <row r="10" ht="19" customHeight="1">
      <c r="B10" s="6" t="inlineStr">
        <is>
          <t>Sep 2026  (M6)</t>
        </is>
      </c>
      <c r="C10" s="87" t="n">
        <v>637500</v>
      </c>
      <c r="D10" s="15" t="n">
        <v>850000</v>
      </c>
      <c r="E10" s="69" t="n">
        <v>-212500</v>
      </c>
      <c r="F10" s="90" t="n">
        <v>15827500</v>
      </c>
    </row>
    <row r="11" ht="19" customHeight="1">
      <c r="B11" s="8" t="inlineStr">
        <is>
          <t>Oct 2026  (M7)</t>
        </is>
      </c>
      <c r="C11" s="86" t="n">
        <v>1020000</v>
      </c>
      <c r="D11" s="89" t="n">
        <v>840000</v>
      </c>
      <c r="E11" s="16" t="n">
        <v>180000</v>
      </c>
      <c r="F11" s="90" t="n">
        <v>16007500</v>
      </c>
    </row>
    <row r="12" ht="19" customHeight="1">
      <c r="B12" s="6" t="inlineStr">
        <is>
          <t>Nov 2026  (M8)</t>
        </is>
      </c>
      <c r="C12" s="87" t="n">
        <v>1020000</v>
      </c>
      <c r="D12" s="15" t="n">
        <v>825000</v>
      </c>
      <c r="E12" s="16" t="n">
        <v>195000</v>
      </c>
      <c r="F12" s="90" t="n">
        <v>16202500</v>
      </c>
    </row>
    <row r="13" ht="19" customHeight="1">
      <c r="B13" s="8" t="inlineStr">
        <is>
          <t>Dec 2026  (M9)</t>
        </is>
      </c>
      <c r="C13" s="86" t="n">
        <v>1020000</v>
      </c>
      <c r="D13" s="89" t="n">
        <v>825000</v>
      </c>
      <c r="E13" s="16" t="n">
        <v>195000</v>
      </c>
      <c r="F13" s="90" t="n">
        <v>16397500</v>
      </c>
    </row>
    <row r="14" ht="19" customHeight="1">
      <c r="B14" s="6" t="inlineStr">
        <is>
          <t>Jan 2027  (M10)</t>
        </is>
      </c>
      <c r="C14" s="87" t="n">
        <v>1147500</v>
      </c>
      <c r="D14" s="15" t="n">
        <v>810000</v>
      </c>
      <c r="E14" s="16" t="n">
        <v>337500</v>
      </c>
      <c r="F14" s="90" t="n">
        <v>16735000</v>
      </c>
    </row>
    <row r="15" ht="19" customHeight="1">
      <c r="B15" s="8" t="inlineStr">
        <is>
          <t>Feb 2027  (M11)</t>
        </is>
      </c>
      <c r="C15" s="86" t="n">
        <v>1147500</v>
      </c>
      <c r="D15" s="89" t="n">
        <v>800000</v>
      </c>
      <c r="E15" s="16" t="n">
        <v>347500</v>
      </c>
      <c r="F15" s="90" t="n">
        <v>17082500</v>
      </c>
    </row>
    <row r="16" ht="19" customHeight="1">
      <c r="B16" s="6" t="inlineStr">
        <is>
          <t>Mar 2027  (M12)</t>
        </is>
      </c>
      <c r="C16" s="87" t="n">
        <v>1147500</v>
      </c>
      <c r="D16" s="15" t="n">
        <v>800000</v>
      </c>
      <c r="E16" s="16" t="n">
        <v>347500</v>
      </c>
      <c r="F16" s="90" t="n">
        <v>17430000</v>
      </c>
    </row>
    <row r="17" ht="22" customHeight="1">
      <c r="B17" s="41" t="inlineStr">
        <is>
          <t>YEAR 1 TOTAL</t>
        </is>
      </c>
      <c r="C17" s="42" t="n">
        <v>9555000</v>
      </c>
      <c r="D17" s="42" t="n">
        <v>10125000</v>
      </c>
      <c r="E17" s="42" t="n">
        <v>-570000</v>
      </c>
      <c r="F17" s="42" t="n">
        <v>17430000</v>
      </c>
    </row>
    <row r="19" ht="22" customHeight="1">
      <c r="B19" s="36" t="inlineStr">
        <is>
          <t xml:space="preserve">  YEAR 2 — QUARTERLY (FY2027)  |  Opening Cash: $17,430,000</t>
        </is>
      </c>
    </row>
    <row r="20" ht="22" customHeight="1">
      <c r="B20" s="3" t="inlineStr">
        <is>
          <t>QUARTER</t>
        </is>
      </c>
      <c r="C20" s="3" t="inlineStr">
        <is>
          <t>REVENUE IN ($)</t>
        </is>
      </c>
      <c r="D20" s="3" t="inlineStr">
        <is>
          <t>EXPENSES OUT ($)</t>
        </is>
      </c>
      <c r="E20" s="3" t="inlineStr">
        <is>
          <t>NET CASH ($)</t>
        </is>
      </c>
      <c r="F20" s="3" t="inlineStr">
        <is>
          <t>CUMUL. CASH ($)</t>
        </is>
      </c>
    </row>
    <row r="21" ht="19" customHeight="1">
      <c r="B21" s="8" t="inlineStr">
        <is>
          <t>Q1 FY2027</t>
        </is>
      </c>
      <c r="C21" s="86" t="n">
        <v>3325000</v>
      </c>
      <c r="D21" s="89" t="n">
        <v>2450000</v>
      </c>
      <c r="E21" s="16" t="n">
        <v>875000</v>
      </c>
      <c r="F21" s="90" t="n">
        <v>18305000</v>
      </c>
    </row>
    <row r="22" ht="19" customHeight="1">
      <c r="B22" s="6" t="inlineStr">
        <is>
          <t>Q2 FY2027</t>
        </is>
      </c>
      <c r="C22" s="87" t="n">
        <v>3325000</v>
      </c>
      <c r="D22" s="15" t="n">
        <v>2450000</v>
      </c>
      <c r="E22" s="16" t="n">
        <v>875000</v>
      </c>
      <c r="F22" s="90" t="n">
        <v>19180000</v>
      </c>
    </row>
    <row r="23" ht="19" customHeight="1">
      <c r="B23" s="8" t="inlineStr">
        <is>
          <t>Q3 FY2027</t>
        </is>
      </c>
      <c r="C23" s="86" t="n">
        <v>3344000</v>
      </c>
      <c r="D23" s="89" t="n">
        <v>2450000</v>
      </c>
      <c r="E23" s="16" t="n">
        <v>894000</v>
      </c>
      <c r="F23" s="90" t="n">
        <v>20074000</v>
      </c>
    </row>
    <row r="24" ht="19" customHeight="1">
      <c r="B24" s="6" t="inlineStr">
        <is>
          <t>Q4 FY2027</t>
        </is>
      </c>
      <c r="C24" s="87" t="n">
        <v>3344000</v>
      </c>
      <c r="D24" s="15" t="n">
        <v>2450000</v>
      </c>
      <c r="E24" s="16" t="n">
        <v>894000</v>
      </c>
      <c r="F24" s="90" t="n">
        <v>20968000</v>
      </c>
    </row>
    <row r="25" ht="22" customHeight="1">
      <c r="B25" s="41" t="inlineStr">
        <is>
          <t>YEAR 2 TOTAL</t>
        </is>
      </c>
      <c r="C25" s="42" t="n">
        <v>13338000</v>
      </c>
      <c r="D25" s="42" t="n">
        <v>9800000</v>
      </c>
      <c r="E25" s="42" t="n">
        <v>3538000</v>
      </c>
      <c r="F25" s="42" t="n">
        <v>20968000</v>
      </c>
    </row>
    <row r="27" ht="22" customHeight="1">
      <c r="B27" s="36" t="inlineStr">
        <is>
          <t xml:space="preserve">  YEAR 3 — QUARTERLY (FY2028)  |  Opening Cash: $20,968,000</t>
        </is>
      </c>
    </row>
    <row r="28" ht="22" customHeight="1">
      <c r="B28" s="3" t="inlineStr">
        <is>
          <t>QUARTER</t>
        </is>
      </c>
      <c r="C28" s="3" t="inlineStr">
        <is>
          <t>REVENUE IN ($)</t>
        </is>
      </c>
      <c r="D28" s="3" t="inlineStr">
        <is>
          <t>EXPENSES OUT ($)</t>
        </is>
      </c>
      <c r="E28" s="3" t="inlineStr">
        <is>
          <t>NET CASH ($)</t>
        </is>
      </c>
      <c r="F28" s="3" t="inlineStr">
        <is>
          <t>CUMUL. CASH ($)</t>
        </is>
      </c>
    </row>
    <row r="29" ht="19" customHeight="1">
      <c r="B29" s="8" t="inlineStr">
        <is>
          <t>Q1 FY2028</t>
        </is>
      </c>
      <c r="C29" s="86" t="n">
        <v>7000000</v>
      </c>
      <c r="D29" s="89" t="n">
        <v>3250000</v>
      </c>
      <c r="E29" s="16" t="n">
        <v>3750000</v>
      </c>
      <c r="F29" s="90" t="n">
        <v>24718000</v>
      </c>
    </row>
    <row r="30" ht="19" customHeight="1">
      <c r="B30" s="6" t="inlineStr">
        <is>
          <t>Q2 FY2028</t>
        </is>
      </c>
      <c r="C30" s="87" t="n">
        <v>7875000</v>
      </c>
      <c r="D30" s="15" t="n">
        <v>3250000</v>
      </c>
      <c r="E30" s="16" t="n">
        <v>4625000</v>
      </c>
      <c r="F30" s="90" t="n">
        <v>29343000</v>
      </c>
    </row>
    <row r="31" ht="19" customHeight="1">
      <c r="B31" s="8" t="inlineStr">
        <is>
          <t>Q3 FY2028</t>
        </is>
      </c>
      <c r="C31" s="86" t="n">
        <v>8312500</v>
      </c>
      <c r="D31" s="89" t="n">
        <v>3250000</v>
      </c>
      <c r="E31" s="16" t="n">
        <v>5062500</v>
      </c>
      <c r="F31" s="90" t="n">
        <v>34405500</v>
      </c>
    </row>
    <row r="32" ht="19" customHeight="1">
      <c r="B32" s="6" t="inlineStr">
        <is>
          <t>Q4 FY2028</t>
        </is>
      </c>
      <c r="C32" s="87" t="n">
        <v>8312500</v>
      </c>
      <c r="D32" s="15" t="n">
        <v>3250000</v>
      </c>
      <c r="E32" s="16" t="n">
        <v>5062500</v>
      </c>
      <c r="F32" s="90" t="n">
        <v>39468000</v>
      </c>
    </row>
    <row r="33" ht="22" customHeight="1">
      <c r="B33" s="41" t="inlineStr">
        <is>
          <t>YEAR 3 TOTAL</t>
        </is>
      </c>
      <c r="C33" s="42" t="n">
        <v>31500000</v>
      </c>
      <c r="D33" s="42" t="n">
        <v>13000000</v>
      </c>
      <c r="E33" s="42" t="n">
        <v>18500000</v>
      </c>
      <c r="F33" s="42" t="n">
        <v>39468000</v>
      </c>
    </row>
    <row r="35" ht="36" customHeight="1">
      <c r="B35" s="91" t="inlineStr">
        <is>
          <t>CASH POSITION AT END OF YEAR 3 (FY2028):   $39,468,000   |   Self-funded from Year 2 onwards  |  Series B is optional, not existential</t>
        </is>
      </c>
    </row>
  </sheetData>
  <mergeCells count="6">
    <mergeCell ref="B2:F2"/>
    <mergeCell ref="B3:F3"/>
    <mergeCell ref="B19:F19"/>
    <mergeCell ref="B1:F1"/>
    <mergeCell ref="B27:F27"/>
    <mergeCell ref="B35:F3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2026-03-15T16:31:50Z</dcterms:created>
  <dcterms:modified xmlns:dcterms="http://purl.org/dc/terms/" xmlns:xsi="http://www.w3.org/2001/XMLSchema-instance" xsi:type="dcterms:W3CDTF">2026-03-15T16:31:51Z</dcterms:modified>
</cp:coreProperties>
</file>